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Свод" sheetId="1" state="visible" r:id="rId1"/>
    <sheet xmlns:r="http://schemas.openxmlformats.org/officeDocument/2006/relationships" name="Параметры" sheetId="2" state="visible" r:id="rId2"/>
    <sheet xmlns:r="http://schemas.openxmlformats.org/officeDocument/2006/relationships" name="Модель" sheetId="3" state="visible" r:id="rId3"/>
    <sheet xmlns:r="http://schemas.openxmlformats.org/officeDocument/2006/relationships" name="Детальная модель" sheetId="4" state="visible" r:id="rId4"/>
    <sheet xmlns:r="http://schemas.openxmlformats.org/officeDocument/2006/relationships" name="_DATA" sheetId="5" state="hidden" r:id="rId5"/>
  </sheets>
  <definedNames/>
</workbook>
</file>

<file path=xl/styles.xml><?xml version="1.0" encoding="utf-8"?>
<styleSheet xmlns="http://schemas.openxmlformats.org/spreadsheetml/2006/main">
  <numFmts count="0"/>
  <fonts count="2">
    <font>
      <name val="Aptos"/>
      <color rgb="FF172334"/>
      <sz val="11"/>
    </font>
    <font>
      <name val="Aptos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6324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32" customWidth="1" min="2" max="2"/>
    <col width="27" customWidth="1" min="3" max="3"/>
    <col width="17" customWidth="1" min="4" max="20"/>
  </cols>
  <sheetData>
    <row r="1">
      <c r="A1" s="1" t="inlineStr">
        <is>
          <t>Файл подрядчика финансово-экономической модели</t>
        </is>
      </c>
    </row>
    <row r="2">
      <c r="A2" t="inlineStr">
        <is>
          <t>Подрядчик</t>
        </is>
      </c>
      <c r="B2" t="inlineStr">
        <is>
          <t>Подрядчик 1</t>
        </is>
      </c>
    </row>
    <row r="3">
      <c r="A3" t="inlineStr">
        <is>
          <t>Идентификатор</t>
        </is>
      </c>
      <c r="B3" t="inlineStr">
        <is>
          <t>c1</t>
        </is>
      </c>
    </row>
    <row r="4">
      <c r="A4" t="inlineStr">
        <is>
          <t>Сформирован</t>
        </is>
      </c>
      <c r="B4" t="inlineStr">
        <is>
          <t>2026-09-25T09:54:18.612Z</t>
        </is>
      </c>
    </row>
    <row r="6">
      <c r="A6" t="inlineStr">
        <is>
          <t>Договор</t>
        </is>
      </c>
      <c r="B6" t="inlineStr">
        <is>
          <t>Наименование</t>
        </is>
      </c>
      <c r="C6" t="inlineStr">
        <is>
          <t>Версий</t>
        </is>
      </c>
      <c r="D6" t="inlineStr">
        <is>
          <t>Валюта актуальной версии</t>
        </is>
      </c>
      <c r="E6" t="inlineStr">
        <is>
          <t>Контрактный курс к RUB</t>
        </is>
      </c>
    </row>
    <row r="7">
      <c r="A7" t="inlineStr">
        <is>
          <t>4700134128</t>
        </is>
      </c>
      <c r="B7" t="inlineStr">
        <is>
          <t>Договор по BOQ № 4700134128 · пилот 2026</t>
        </is>
      </c>
      <c r="C7" s="2" t="n">
        <v>1</v>
      </c>
      <c r="D7" t="inlineStr">
        <is>
          <t>USD</t>
        </is>
      </c>
      <c r="E7" s="2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32" customWidth="1" min="2" max="2"/>
    <col width="27" customWidth="1" min="3" max="3"/>
    <col width="17" customWidth="1" min="4" max="20"/>
  </cols>
  <sheetData>
    <row r="1">
      <c r="A1" s="1" t="inlineStr">
        <is>
          <t>Договор</t>
        </is>
      </c>
      <c r="B1" s="1" t="inlineStr">
        <is>
          <t>Версия</t>
        </is>
      </c>
      <c r="C1" s="1" t="inlineStr">
        <is>
          <t>Валюта</t>
        </is>
      </c>
      <c r="D1" s="1" t="inlineStr">
        <is>
          <t>Курс к RUB</t>
        </is>
      </c>
      <c r="E1" s="1" t="inlineStr">
        <is>
          <t>Статья</t>
        </is>
      </c>
      <c r="F1" s="1" t="inlineStr">
        <is>
          <t>Группа</t>
        </is>
      </c>
      <c r="G1" s="1" t="inlineStr">
        <is>
          <t>Ставка</t>
        </is>
      </c>
      <c r="H1" s="1" t="inlineStr">
        <is>
          <t>Метод</t>
        </is>
      </c>
      <c r="I1" s="1" t="inlineStr">
        <is>
          <t>База ставки</t>
        </is>
      </c>
      <c r="J1" s="1" t="inlineStr">
        <is>
          <t>Источник ставки</t>
        </is>
      </c>
      <c r="K1" s="1" t="inlineStr">
        <is>
          <t>Оплата, мес.</t>
        </is>
      </c>
      <c r="L1" s="1" t="inlineStr">
        <is>
          <t>В экономике</t>
        </is>
      </c>
      <c r="M1" s="1" t="inlineStr">
        <is>
          <t>Выплачивать</t>
        </is>
      </c>
      <c r="N1" s="1" t="inlineStr">
        <is>
          <t>С НДС</t>
        </is>
      </c>
    </row>
    <row r="2">
      <c r="A2" t="inlineStr">
        <is>
          <t>4700134128</t>
        </is>
      </c>
      <c r="B2" t="inlineStr">
        <is>
          <t>Пилот 2026 · BOQ/КСГ</t>
        </is>
      </c>
      <c r="C2" t="inlineStr">
        <is>
          <t>USD</t>
        </is>
      </c>
      <c r="D2" s="2" t="n">
        <v>80</v>
      </c>
      <c r="E2" t="inlineStr">
        <is>
          <t>Заработная плата</t>
        </is>
      </c>
      <c r="F2" t="inlineStr">
        <is>
          <t>Прямые</t>
        </is>
      </c>
      <c r="G2" s="2" t="n">
        <v>1875</v>
      </c>
      <c r="H2" t="inlineStr">
        <is>
          <t>monthly</t>
        </is>
      </c>
      <c r="I2" t="inlineStr"/>
      <c r="J2" t="inlineStr">
        <is>
          <t>Исходная модель, Детальная модель!E25</t>
        </is>
      </c>
      <c r="K2" s="2" t="n">
        <v>0</v>
      </c>
      <c r="L2" t="inlineStr">
        <is>
          <t>true</t>
        </is>
      </c>
      <c r="M2" t="inlineStr">
        <is>
          <t>true</t>
        </is>
      </c>
      <c r="N2" t="inlineStr">
        <is>
          <t>false</t>
        </is>
      </c>
    </row>
    <row r="3">
      <c r="A3" t="inlineStr">
        <is>
          <t>4700134128</t>
        </is>
      </c>
      <c r="B3" t="inlineStr">
        <is>
          <t>Пилот 2026 · BOQ/КСГ</t>
        </is>
      </c>
      <c r="C3" t="inlineStr">
        <is>
          <t>USD</t>
        </is>
      </c>
      <c r="D3" s="2" t="n">
        <v>80</v>
      </c>
      <c r="E3" t="inlineStr">
        <is>
          <t>НДФЛ</t>
        </is>
      </c>
      <c r="F3" t="inlineStr">
        <is>
          <t>Прямые</t>
        </is>
      </c>
      <c r="G3" s="2" t="n">
        <v>13</v>
      </c>
      <c r="H3" t="inlineStr">
        <is>
          <t>rate</t>
        </is>
      </c>
      <c r="I3" t="inlineStr"/>
      <c r="J3" t="inlineStr">
        <is>
          <t>Исходная модель, строка 48</t>
        </is>
      </c>
      <c r="K3" s="2" t="n">
        <v>0</v>
      </c>
      <c r="L3" t="inlineStr">
        <is>
          <t>true</t>
        </is>
      </c>
      <c r="M3" t="inlineStr">
        <is>
          <t>true</t>
        </is>
      </c>
      <c r="N3" t="inlineStr">
        <is>
          <t>false</t>
        </is>
      </c>
    </row>
    <row r="4">
      <c r="A4" t="inlineStr">
        <is>
          <t>4700134128</t>
        </is>
      </c>
      <c r="B4" t="inlineStr">
        <is>
          <t>Пилот 2026 · BOQ/КСГ</t>
        </is>
      </c>
      <c r="C4" t="inlineStr">
        <is>
          <t>USD</t>
        </is>
      </c>
      <c r="D4" s="2" t="n">
        <v>80</v>
      </c>
      <c r="E4" t="inlineStr">
        <is>
          <t>Страховые взносы</t>
        </is>
      </c>
      <c r="F4" t="inlineStr">
        <is>
          <t>Прямые</t>
        </is>
      </c>
      <c r="G4" s="2" t="n">
        <v>30.9</v>
      </c>
      <c r="H4" t="inlineStr">
        <is>
          <t>rate</t>
        </is>
      </c>
      <c r="I4" t="inlineStr"/>
      <c r="J4" t="inlineStr">
        <is>
          <t>Исходная модель, Детальная модель!F26:F29</t>
        </is>
      </c>
      <c r="K4" s="2" t="n">
        <v>0</v>
      </c>
      <c r="L4" t="inlineStr">
        <is>
          <t>true</t>
        </is>
      </c>
      <c r="M4" t="inlineStr">
        <is>
          <t>true</t>
        </is>
      </c>
      <c r="N4" t="inlineStr">
        <is>
          <t>false</t>
        </is>
      </c>
    </row>
    <row r="5">
      <c r="A5" t="inlineStr">
        <is>
          <t>4700134128</t>
        </is>
      </c>
      <c r="B5" t="inlineStr">
        <is>
          <t>Пилот 2026 · BOQ/КСГ</t>
        </is>
      </c>
      <c r="C5" t="inlineStr">
        <is>
          <t>USD</t>
        </is>
      </c>
      <c r="D5" s="2" t="n">
        <v>80</v>
      </c>
      <c r="E5" t="inlineStr">
        <is>
          <t>Резерв на отпуска</t>
        </is>
      </c>
      <c r="F5" t="inlineStr">
        <is>
          <t>Прямые</t>
        </is>
      </c>
      <c r="G5" s="2" t="n">
        <v>9.226190476190476</v>
      </c>
      <c r="H5" t="inlineStr">
        <is>
          <t>rate</t>
        </is>
      </c>
      <c r="I5" t="inlineStr"/>
      <c r="J5" t="inlineStr">
        <is>
          <t>Исходная модель, Детальная модель!F50</t>
        </is>
      </c>
      <c r="K5" s="2" t="n">
        <v>0</v>
      </c>
      <c r="L5" t="inlineStr">
        <is>
          <t>true</t>
        </is>
      </c>
      <c r="M5" t="inlineStr">
        <is>
          <t>false</t>
        </is>
      </c>
      <c r="N5" t="inlineStr">
        <is>
          <t>false</t>
        </is>
      </c>
    </row>
    <row r="6">
      <c r="A6" t="inlineStr">
        <is>
          <t>4700134128</t>
        </is>
      </c>
      <c r="B6" t="inlineStr">
        <is>
          <t>Пилот 2026 · BOQ/КСГ</t>
        </is>
      </c>
      <c r="C6" t="inlineStr">
        <is>
          <t>USD</t>
        </is>
      </c>
      <c r="D6" s="2" t="n">
        <v>80</v>
      </c>
      <c r="E6" t="inlineStr">
        <is>
          <t>Субподряд</t>
        </is>
      </c>
      <c r="F6" t="inlineStr">
        <is>
          <t>Прямые</t>
        </is>
      </c>
      <c r="G6" s="2" t="n">
        <v>0</v>
      </c>
      <c r="H6" t="inlineStr">
        <is>
          <t>percentRevenue</t>
        </is>
      </c>
      <c r="I6" t="inlineStr"/>
      <c r="J6" t="inlineStr">
        <is>
          <t>Исходная модель, Детальная модель!F51</t>
        </is>
      </c>
      <c r="K6" s="2" t="n">
        <v>0</v>
      </c>
      <c r="L6" t="inlineStr">
        <is>
          <t>true</t>
        </is>
      </c>
      <c r="M6" t="inlineStr">
        <is>
          <t>true</t>
        </is>
      </c>
      <c r="N6" t="inlineStr">
        <is>
          <t>true</t>
        </is>
      </c>
    </row>
    <row r="7">
      <c r="A7" t="inlineStr">
        <is>
          <t>4700134128</t>
        </is>
      </c>
      <c r="B7" t="inlineStr">
        <is>
          <t>Пилот 2026 · BOQ/КСГ</t>
        </is>
      </c>
      <c r="C7" t="inlineStr">
        <is>
          <t>USD</t>
        </is>
      </c>
      <c r="D7" s="2" t="n">
        <v>80</v>
      </c>
      <c r="E7" t="inlineStr">
        <is>
          <t>Строительная техника</t>
        </is>
      </c>
      <c r="F7" t="inlineStr">
        <is>
          <t>Прямые</t>
        </is>
      </c>
      <c r="G7" s="2" t="n">
        <v>62.5</v>
      </c>
      <c r="H7" t="inlineStr">
        <is>
          <t>unit</t>
        </is>
      </c>
      <c r="I7" t="inlineStr"/>
      <c r="J7" t="inlineStr">
        <is>
          <t>Исходная модель, Детальная модель!F52</t>
        </is>
      </c>
      <c r="K7" s="2" t="n">
        <v>0</v>
      </c>
      <c r="L7" t="inlineStr">
        <is>
          <t>true</t>
        </is>
      </c>
      <c r="M7" t="inlineStr">
        <is>
          <t>true</t>
        </is>
      </c>
      <c r="N7" t="inlineStr">
        <is>
          <t>true</t>
        </is>
      </c>
    </row>
    <row r="8">
      <c r="A8" t="inlineStr">
        <is>
          <t>4700134128</t>
        </is>
      </c>
      <c r="B8" t="inlineStr">
        <is>
          <t>Пилот 2026 · BOQ/КСГ</t>
        </is>
      </c>
      <c r="C8" t="inlineStr">
        <is>
          <t>USD</t>
        </is>
      </c>
      <c r="D8" s="2" t="n">
        <v>80</v>
      </c>
      <c r="E8" t="inlineStr">
        <is>
          <t>Строительные леса</t>
        </is>
      </c>
      <c r="F8" t="inlineStr">
        <is>
          <t>Прямые</t>
        </is>
      </c>
      <c r="G8" s="2" t="n">
        <v>0</v>
      </c>
      <c r="H8" t="inlineStr">
        <is>
          <t>manual</t>
        </is>
      </c>
      <c r="I8" t="inlineStr"/>
      <c r="J8" t="inlineStr">
        <is>
          <t>Исходная модель, Детальная модель!F53</t>
        </is>
      </c>
      <c r="K8" s="2" t="n">
        <v>0</v>
      </c>
      <c r="L8" t="inlineStr">
        <is>
          <t>true</t>
        </is>
      </c>
      <c r="M8" t="inlineStr">
        <is>
          <t>true</t>
        </is>
      </c>
      <c r="N8" t="inlineStr">
        <is>
          <t>true</t>
        </is>
      </c>
    </row>
    <row r="9">
      <c r="A9" t="inlineStr">
        <is>
          <t>4700134128</t>
        </is>
      </c>
      <c r="B9" t="inlineStr">
        <is>
          <t>Пилот 2026 · BOQ/КСГ</t>
        </is>
      </c>
      <c r="C9" t="inlineStr">
        <is>
          <t>USD</t>
        </is>
      </c>
      <c r="D9" s="2" t="n">
        <v>80</v>
      </c>
      <c r="E9" t="inlineStr">
        <is>
          <t>Лесомонтаж</t>
        </is>
      </c>
      <c r="F9" t="inlineStr">
        <is>
          <t>Прямые</t>
        </is>
      </c>
      <c r="G9" s="2" t="n">
        <v>18.75</v>
      </c>
      <c r="H9" t="inlineStr">
        <is>
          <t>unit</t>
        </is>
      </c>
      <c r="I9" t="inlineStr"/>
      <c r="J9" t="inlineStr">
        <is>
          <t>Исходная модель, Детальная модель!F54</t>
        </is>
      </c>
      <c r="K9" s="2" t="n">
        <v>0</v>
      </c>
      <c r="L9" t="inlineStr">
        <is>
          <t>true</t>
        </is>
      </c>
      <c r="M9" t="inlineStr">
        <is>
          <t>true</t>
        </is>
      </c>
      <c r="N9" t="inlineStr">
        <is>
          <t>true</t>
        </is>
      </c>
    </row>
    <row r="10">
      <c r="A10" t="inlineStr">
        <is>
          <t>4700134128</t>
        </is>
      </c>
      <c r="B10" t="inlineStr">
        <is>
          <t>Пилот 2026 · BOQ/КСГ</t>
        </is>
      </c>
      <c r="C10" t="inlineStr">
        <is>
          <t>USD</t>
        </is>
      </c>
      <c r="D10" s="2" t="n">
        <v>80</v>
      </c>
      <c r="E10" t="inlineStr">
        <is>
          <t>Проектные материалы</t>
        </is>
      </c>
      <c r="F10" t="inlineStr">
        <is>
          <t>Прямые</t>
        </is>
      </c>
      <c r="G10" s="2" t="n">
        <v>10</v>
      </c>
      <c r="H10" t="inlineStr">
        <is>
          <t>materials</t>
        </is>
      </c>
      <c r="I10" t="inlineStr"/>
      <c r="J10" t="inlineStr">
        <is>
          <t>Исходная модель, Детальная модель!F55</t>
        </is>
      </c>
      <c r="K10" s="2" t="n">
        <v>0</v>
      </c>
      <c r="L10" t="inlineStr">
        <is>
          <t>true</t>
        </is>
      </c>
      <c r="M10" t="inlineStr">
        <is>
          <t>true</t>
        </is>
      </c>
      <c r="N10" t="inlineStr">
        <is>
          <t>true</t>
        </is>
      </c>
    </row>
    <row r="11">
      <c r="A11" t="inlineStr">
        <is>
          <t>4700134128</t>
        </is>
      </c>
      <c r="B11" t="inlineStr">
        <is>
          <t>Пилот 2026 · BOQ/КСГ</t>
        </is>
      </c>
      <c r="C11" t="inlineStr">
        <is>
          <t>USD</t>
        </is>
      </c>
      <c r="D11" s="2" t="n">
        <v>80</v>
      </c>
      <c r="E11" t="inlineStr">
        <is>
          <t>Расходные материалы</t>
        </is>
      </c>
      <c r="F11" t="inlineStr">
        <is>
          <t>Прямые</t>
        </is>
      </c>
      <c r="G11" s="2" t="n">
        <v>10</v>
      </c>
      <c r="H11" t="inlineStr">
        <is>
          <t>percentPayroll</t>
        </is>
      </c>
      <c r="I11" t="inlineStr"/>
      <c r="J11" t="inlineStr">
        <is>
          <t>Исходная модель, Детальная модель!F56</t>
        </is>
      </c>
      <c r="K11" s="2" t="n">
        <v>0</v>
      </c>
      <c r="L11" t="inlineStr">
        <is>
          <t>true</t>
        </is>
      </c>
      <c r="M11" t="inlineStr">
        <is>
          <t>true</t>
        </is>
      </c>
      <c r="N11" t="inlineStr">
        <is>
          <t>true</t>
        </is>
      </c>
    </row>
    <row r="12">
      <c r="A12" t="inlineStr">
        <is>
          <t>4700134128</t>
        </is>
      </c>
      <c r="B12" t="inlineStr">
        <is>
          <t>Пилот 2026 · BOQ/КСГ</t>
        </is>
      </c>
      <c r="C12" t="inlineStr">
        <is>
          <t>USD</t>
        </is>
      </c>
      <c r="D12" s="2" t="n">
        <v>80</v>
      </c>
      <c r="E12" t="inlineStr">
        <is>
          <t>НРК</t>
        </is>
      </c>
      <c r="F12" t="inlineStr">
        <is>
          <t>Прямые</t>
        </is>
      </c>
      <c r="G12" s="2" t="n">
        <v>50</v>
      </c>
      <c r="H12" t="inlineStr">
        <is>
          <t>unit</t>
        </is>
      </c>
      <c r="I12" t="inlineStr"/>
      <c r="J12" t="inlineStr">
        <is>
          <t>Исходная модель, Детальная модель!F57</t>
        </is>
      </c>
      <c r="K12" s="2" t="n">
        <v>0</v>
      </c>
      <c r="L12" t="inlineStr">
        <is>
          <t>true</t>
        </is>
      </c>
      <c r="M12" t="inlineStr">
        <is>
          <t>true</t>
        </is>
      </c>
      <c r="N12" t="inlineStr">
        <is>
          <t>true</t>
        </is>
      </c>
    </row>
    <row r="13">
      <c r="A13" t="inlineStr">
        <is>
          <t>4700134128</t>
        </is>
      </c>
      <c r="B13" t="inlineStr">
        <is>
          <t>Пилот 2026 · BOQ/КСГ</t>
        </is>
      </c>
      <c r="C13" t="inlineStr">
        <is>
          <t>USD</t>
        </is>
      </c>
      <c r="D13" s="2" t="n">
        <v>80</v>
      </c>
      <c r="E13" t="inlineStr">
        <is>
          <t>Прочие прямые</t>
        </is>
      </c>
      <c r="F13" t="inlineStr">
        <is>
          <t>Прямые</t>
        </is>
      </c>
      <c r="G13" s="2" t="n">
        <v>0</v>
      </c>
      <c r="H13" t="inlineStr">
        <is>
          <t>manual</t>
        </is>
      </c>
      <c r="I13" t="inlineStr"/>
      <c r="J13" t="inlineStr">
        <is>
          <t>Исходная модель, Детальная модель!F58</t>
        </is>
      </c>
      <c r="K13" s="2" t="n">
        <v>0</v>
      </c>
      <c r="L13" t="inlineStr">
        <is>
          <t>true</t>
        </is>
      </c>
      <c r="M13" t="inlineStr">
        <is>
          <t>true</t>
        </is>
      </c>
      <c r="N13" t="inlineStr">
        <is>
          <t>true</t>
        </is>
      </c>
    </row>
    <row r="14">
      <c r="A14" t="inlineStr">
        <is>
          <t>4700134128</t>
        </is>
      </c>
      <c r="B14" t="inlineStr">
        <is>
          <t>Пилот 2026 · BOQ/КСГ</t>
        </is>
      </c>
      <c r="C14" t="inlineStr">
        <is>
          <t>USD</t>
        </is>
      </c>
      <c r="D14" s="2" t="n">
        <v>80</v>
      </c>
      <c r="E14" t="inlineStr">
        <is>
          <t>Заработная плата</t>
        </is>
      </c>
      <c r="F14" t="inlineStr">
        <is>
          <t>Косвенные</t>
        </is>
      </c>
      <c r="G14" s="2" t="n">
        <v>2718.75</v>
      </c>
      <c r="H14" t="inlineStr">
        <is>
          <t>monthly</t>
        </is>
      </c>
      <c r="I14" t="inlineStr"/>
      <c r="J14" t="inlineStr">
        <is>
          <t>Исходная модель, Детальная модель!E31</t>
        </is>
      </c>
      <c r="K14" s="2" t="n">
        <v>0</v>
      </c>
      <c r="L14" t="inlineStr">
        <is>
          <t>true</t>
        </is>
      </c>
      <c r="M14" t="inlineStr">
        <is>
          <t>true</t>
        </is>
      </c>
      <c r="N14" t="inlineStr">
        <is>
          <t>false</t>
        </is>
      </c>
    </row>
    <row r="15">
      <c r="A15" t="inlineStr">
        <is>
          <t>4700134128</t>
        </is>
      </c>
      <c r="B15" t="inlineStr">
        <is>
          <t>Пилот 2026 · BOQ/КСГ</t>
        </is>
      </c>
      <c r="C15" t="inlineStr">
        <is>
          <t>USD</t>
        </is>
      </c>
      <c r="D15" s="2" t="n">
        <v>80</v>
      </c>
      <c r="E15" t="inlineStr">
        <is>
          <t>НДФЛ</t>
        </is>
      </c>
      <c r="F15" t="inlineStr">
        <is>
          <t>Косвенные</t>
        </is>
      </c>
      <c r="G15" s="2" t="n">
        <v>13</v>
      </c>
      <c r="H15" t="inlineStr">
        <is>
          <t>rate</t>
        </is>
      </c>
      <c r="I15" t="inlineStr"/>
      <c r="J15" t="inlineStr">
        <is>
          <t>Исходная модель, строка 61</t>
        </is>
      </c>
      <c r="K15" s="2" t="n">
        <v>0</v>
      </c>
      <c r="L15" t="inlineStr">
        <is>
          <t>true</t>
        </is>
      </c>
      <c r="M15" t="inlineStr">
        <is>
          <t>true</t>
        </is>
      </c>
      <c r="N15" t="inlineStr">
        <is>
          <t>false</t>
        </is>
      </c>
    </row>
    <row r="16">
      <c r="A16" t="inlineStr">
        <is>
          <t>4700134128</t>
        </is>
      </c>
      <c r="B16" t="inlineStr">
        <is>
          <t>Пилот 2026 · BOQ/КСГ</t>
        </is>
      </c>
      <c r="C16" t="inlineStr">
        <is>
          <t>USD</t>
        </is>
      </c>
      <c r="D16" s="2" t="n">
        <v>80</v>
      </c>
      <c r="E16" t="inlineStr">
        <is>
          <t>Страховые взносы</t>
        </is>
      </c>
      <c r="F16" t="inlineStr">
        <is>
          <t>Косвенные</t>
        </is>
      </c>
      <c r="G16" s="2" t="n">
        <v>30.9</v>
      </c>
      <c r="H16" t="inlineStr">
        <is>
          <t>rate</t>
        </is>
      </c>
      <c r="I16" t="inlineStr"/>
      <c r="J16" t="inlineStr">
        <is>
          <t>Исходная модель, Детальная модель!F32:F35</t>
        </is>
      </c>
      <c r="K16" s="2" t="n">
        <v>0</v>
      </c>
      <c r="L16" t="inlineStr">
        <is>
          <t>true</t>
        </is>
      </c>
      <c r="M16" t="inlineStr">
        <is>
          <t>true</t>
        </is>
      </c>
      <c r="N16" t="inlineStr">
        <is>
          <t>false</t>
        </is>
      </c>
    </row>
    <row r="17">
      <c r="A17" t="inlineStr">
        <is>
          <t>4700134128</t>
        </is>
      </c>
      <c r="B17" t="inlineStr">
        <is>
          <t>Пилот 2026 · BOQ/КСГ</t>
        </is>
      </c>
      <c r="C17" t="inlineStr">
        <is>
          <t>USD</t>
        </is>
      </c>
      <c r="D17" s="2" t="n">
        <v>80</v>
      </c>
      <c r="E17" t="inlineStr">
        <is>
          <t>Резерв на отпуска</t>
        </is>
      </c>
      <c r="F17" t="inlineStr">
        <is>
          <t>Косвенные</t>
        </is>
      </c>
      <c r="G17" s="2" t="n">
        <v>9.226190476190476</v>
      </c>
      <c r="H17" t="inlineStr">
        <is>
          <t>rate</t>
        </is>
      </c>
      <c r="I17" t="inlineStr"/>
      <c r="J17" t="inlineStr">
        <is>
          <t>Исходная модель, Детальная модель!F63</t>
        </is>
      </c>
      <c r="K17" s="2" t="n">
        <v>0</v>
      </c>
      <c r="L17" t="inlineStr">
        <is>
          <t>true</t>
        </is>
      </c>
      <c r="M17" t="inlineStr">
        <is>
          <t>false</t>
        </is>
      </c>
      <c r="N17" t="inlineStr">
        <is>
          <t>false</t>
        </is>
      </c>
    </row>
    <row r="18">
      <c r="A18" t="inlineStr">
        <is>
          <t>4700134128</t>
        </is>
      </c>
      <c r="B18" t="inlineStr">
        <is>
          <t>Пилот 2026 · BOQ/КСГ</t>
        </is>
      </c>
      <c r="C18" t="inlineStr">
        <is>
          <t>USD</t>
        </is>
      </c>
      <c r="D18" s="2" t="n">
        <v>80</v>
      </c>
      <c r="E18" t="inlineStr">
        <is>
          <t>Питание</t>
        </is>
      </c>
      <c r="F18" t="inlineStr">
        <is>
          <t>Косвенные</t>
        </is>
      </c>
      <c r="G18" s="2" t="n">
        <v>8.125</v>
      </c>
      <c r="H18" t="inlineStr">
        <is>
          <t>day</t>
        </is>
      </c>
      <c r="I18" t="inlineStr"/>
      <c r="J18" t="inlineStr">
        <is>
          <t>Исходная модель, Детальная модель!F64</t>
        </is>
      </c>
      <c r="K18" s="2" t="n">
        <v>0</v>
      </c>
      <c r="L18" t="inlineStr">
        <is>
          <t>true</t>
        </is>
      </c>
      <c r="M18" t="inlineStr">
        <is>
          <t>true</t>
        </is>
      </c>
      <c r="N18" t="inlineStr">
        <is>
          <t>true</t>
        </is>
      </c>
    </row>
    <row r="19">
      <c r="A19" t="inlineStr">
        <is>
          <t>4700134128</t>
        </is>
      </c>
      <c r="B19" t="inlineStr">
        <is>
          <t>Пилот 2026 · BOQ/КСГ</t>
        </is>
      </c>
      <c r="C19" t="inlineStr">
        <is>
          <t>USD</t>
        </is>
      </c>
      <c r="D19" s="2" t="n">
        <v>80</v>
      </c>
      <c r="E19" t="inlineStr">
        <is>
          <t>Проживание</t>
        </is>
      </c>
      <c r="F19" t="inlineStr">
        <is>
          <t>Косвенные</t>
        </is>
      </c>
      <c r="G19" s="2" t="n">
        <v>6.25</v>
      </c>
      <c r="H19" t="inlineStr">
        <is>
          <t>day</t>
        </is>
      </c>
      <c r="I19" t="inlineStr"/>
      <c r="J19" t="inlineStr">
        <is>
          <t>Исходная модель, Детальная модель!F65</t>
        </is>
      </c>
      <c r="K19" s="2" t="n">
        <v>0</v>
      </c>
      <c r="L19" t="inlineStr">
        <is>
          <t>true</t>
        </is>
      </c>
      <c r="M19" t="inlineStr">
        <is>
          <t>true</t>
        </is>
      </c>
      <c r="N19" t="inlineStr">
        <is>
          <t>true</t>
        </is>
      </c>
    </row>
    <row r="20">
      <c r="A20" t="inlineStr">
        <is>
          <t>4700134128</t>
        </is>
      </c>
      <c r="B20" t="inlineStr">
        <is>
          <t>Пилот 2026 · BOQ/КСГ</t>
        </is>
      </c>
      <c r="C20" t="inlineStr">
        <is>
          <t>USD</t>
        </is>
      </c>
      <c r="D20" s="2" t="n">
        <v>80</v>
      </c>
      <c r="E20" t="inlineStr">
        <is>
          <t>Аренда автобусов</t>
        </is>
      </c>
      <c r="F20" t="inlineStr">
        <is>
          <t>Косвенные</t>
        </is>
      </c>
      <c r="G20" s="2" t="n">
        <v>7991.803278688525</v>
      </c>
      <c r="H20" t="inlineStr">
        <is>
          <t>unit</t>
        </is>
      </c>
      <c r="I20" t="inlineStr"/>
      <c r="J20" t="inlineStr">
        <is>
          <t>Исходная модель, Детальная модель!F66</t>
        </is>
      </c>
      <c r="K20" s="2" t="n">
        <v>0</v>
      </c>
      <c r="L20" t="inlineStr">
        <is>
          <t>true</t>
        </is>
      </c>
      <c r="M20" t="inlineStr">
        <is>
          <t>true</t>
        </is>
      </c>
      <c r="N20" t="inlineStr">
        <is>
          <t>true</t>
        </is>
      </c>
    </row>
    <row r="21">
      <c r="A21" t="inlineStr">
        <is>
          <t>4700134128</t>
        </is>
      </c>
      <c r="B21" t="inlineStr">
        <is>
          <t>Пилот 2026 · BOQ/КСГ</t>
        </is>
      </c>
      <c r="C21" t="inlineStr">
        <is>
          <t>USD</t>
        </is>
      </c>
      <c r="D21" s="2" t="n">
        <v>80</v>
      </c>
      <c r="E21" t="inlineStr">
        <is>
          <t>Аренда автомобиля</t>
        </is>
      </c>
      <c r="F21" t="inlineStr">
        <is>
          <t>Косвенные</t>
        </is>
      </c>
      <c r="G21" s="2" t="n">
        <v>3995.901639344263</v>
      </c>
      <c r="H21" t="inlineStr">
        <is>
          <t>unit</t>
        </is>
      </c>
      <c r="I21" t="inlineStr"/>
      <c r="J21" t="inlineStr">
        <is>
          <t>Исходная модель, Детальная модель!F67</t>
        </is>
      </c>
      <c r="K21" s="2" t="n">
        <v>0</v>
      </c>
      <c r="L21" t="inlineStr">
        <is>
          <t>true</t>
        </is>
      </c>
      <c r="M21" t="inlineStr">
        <is>
          <t>true</t>
        </is>
      </c>
      <c r="N21" t="inlineStr">
        <is>
          <t>true</t>
        </is>
      </c>
    </row>
    <row r="22">
      <c r="A22" t="inlineStr">
        <is>
          <t>4700134128</t>
        </is>
      </c>
      <c r="B22" t="inlineStr">
        <is>
          <t>Пилот 2026 · BOQ/КСГ</t>
        </is>
      </c>
      <c r="C22" t="inlineStr">
        <is>
          <t>USD</t>
        </is>
      </c>
      <c r="D22" s="2" t="n">
        <v>80</v>
      </c>
      <c r="E22" t="inlineStr">
        <is>
          <t>Аренда опалубки</t>
        </is>
      </c>
      <c r="F22" t="inlineStr">
        <is>
          <t>Косвенные</t>
        </is>
      </c>
      <c r="G22" s="2" t="n">
        <v>0</v>
      </c>
      <c r="H22" t="inlineStr">
        <is>
          <t>manual</t>
        </is>
      </c>
      <c r="I22" t="inlineStr"/>
      <c r="J22" t="inlineStr">
        <is>
          <t>Исходная модель, строка 53</t>
        </is>
      </c>
      <c r="K22" s="2" t="n">
        <v>0</v>
      </c>
      <c r="L22" t="inlineStr">
        <is>
          <t>true</t>
        </is>
      </c>
      <c r="M22" t="inlineStr">
        <is>
          <t>true</t>
        </is>
      </c>
      <c r="N22" t="inlineStr">
        <is>
          <t>true</t>
        </is>
      </c>
    </row>
    <row r="23">
      <c r="A23" t="inlineStr">
        <is>
          <t>4700134128</t>
        </is>
      </c>
      <c r="B23" t="inlineStr">
        <is>
          <t>Пилот 2026 · BOQ/КСГ</t>
        </is>
      </c>
      <c r="C23" t="inlineStr">
        <is>
          <t>USD</t>
        </is>
      </c>
      <c r="D23" s="2" t="n">
        <v>80</v>
      </c>
      <c r="E23" t="inlineStr">
        <is>
          <t>СИЗы</t>
        </is>
      </c>
      <c r="F23" t="inlineStr">
        <is>
          <t>Косвенные</t>
        </is>
      </c>
      <c r="G23" s="2" t="n">
        <v>375</v>
      </c>
      <c r="H23" t="inlineStr">
        <is>
          <t>annualPerPerson</t>
        </is>
      </c>
      <c r="I23" t="inlineStr"/>
      <c r="J23" t="inlineStr">
        <is>
          <t>Исходная модель, Детальная модель!F68</t>
        </is>
      </c>
      <c r="K23" s="2" t="n">
        <v>0</v>
      </c>
      <c r="L23" t="inlineStr">
        <is>
          <t>true</t>
        </is>
      </c>
      <c r="M23" t="inlineStr">
        <is>
          <t>true</t>
        </is>
      </c>
      <c r="N23" t="inlineStr">
        <is>
          <t>true</t>
        </is>
      </c>
    </row>
    <row r="24">
      <c r="A24" t="inlineStr">
        <is>
          <t>4700134128</t>
        </is>
      </c>
      <c r="B24" t="inlineStr">
        <is>
          <t>Пилот 2026 · BOQ/КСГ</t>
        </is>
      </c>
      <c r="C24" t="inlineStr">
        <is>
          <t>USD</t>
        </is>
      </c>
      <c r="D24" s="2" t="n">
        <v>80</v>
      </c>
      <c r="E24" t="inlineStr">
        <is>
          <t>Приобретение билетов</t>
        </is>
      </c>
      <c r="F24" t="inlineStr">
        <is>
          <t>Косвенные</t>
        </is>
      </c>
      <c r="G24" s="2" t="n">
        <v>500</v>
      </c>
      <c r="H24" t="inlineStr">
        <is>
          <t>rotation</t>
        </is>
      </c>
      <c r="I24" t="inlineStr"/>
      <c r="J24" t="inlineStr">
        <is>
          <t>Исходная модель, Детальная модель!F69</t>
        </is>
      </c>
      <c r="K24" s="2" t="n">
        <v>0</v>
      </c>
      <c r="L24" t="inlineStr">
        <is>
          <t>true</t>
        </is>
      </c>
      <c r="M24" t="inlineStr">
        <is>
          <t>true</t>
        </is>
      </c>
      <c r="N24" t="inlineStr">
        <is>
          <t>true</t>
        </is>
      </c>
    </row>
    <row r="25">
      <c r="A25" t="inlineStr">
        <is>
          <t>4700134128</t>
        </is>
      </c>
      <c r="B25" t="inlineStr">
        <is>
          <t>Пилот 2026 · BOQ/КСГ</t>
        </is>
      </c>
      <c r="C25" t="inlineStr">
        <is>
          <t>USD</t>
        </is>
      </c>
      <c r="D25" s="2" t="n">
        <v>80</v>
      </c>
      <c r="E25" t="inlineStr">
        <is>
          <t>Разрешение на работу</t>
        </is>
      </c>
      <c r="F25" t="inlineStr">
        <is>
          <t>Косвенные</t>
        </is>
      </c>
      <c r="G25" s="2" t="n">
        <v>100</v>
      </c>
      <c r="H25" t="inlineStr">
        <is>
          <t>perPerson</t>
        </is>
      </c>
      <c r="I25" t="inlineStr"/>
      <c r="J25" t="inlineStr">
        <is>
          <t>Исходная модель, Детальная модель!F70</t>
        </is>
      </c>
      <c r="K25" s="2" t="n">
        <v>0</v>
      </c>
      <c r="L25" t="inlineStr">
        <is>
          <t>true</t>
        </is>
      </c>
      <c r="M25" t="inlineStr">
        <is>
          <t>true</t>
        </is>
      </c>
      <c r="N25" t="inlineStr">
        <is>
          <t>true</t>
        </is>
      </c>
    </row>
    <row r="26">
      <c r="A26" t="inlineStr">
        <is>
          <t>4700134128</t>
        </is>
      </c>
      <c r="B26" t="inlineStr">
        <is>
          <t>Пилот 2026 · BOQ/КСГ</t>
        </is>
      </c>
      <c r="C26" t="inlineStr">
        <is>
          <t>USD</t>
        </is>
      </c>
      <c r="D26" s="2" t="n">
        <v>80</v>
      </c>
      <c r="E26" t="inlineStr">
        <is>
          <t>Медицинские услуги</t>
        </is>
      </c>
      <c r="F26" t="inlineStr">
        <is>
          <t>Косвенные</t>
        </is>
      </c>
      <c r="G26" s="2" t="n">
        <v>37.5</v>
      </c>
      <c r="H26" t="inlineStr">
        <is>
          <t>perPerson</t>
        </is>
      </c>
      <c r="I26" t="inlineStr"/>
      <c r="J26" t="inlineStr">
        <is>
          <t>Исходная модель, Детальная модель!F71</t>
        </is>
      </c>
      <c r="K26" s="2" t="n">
        <v>0</v>
      </c>
      <c r="L26" t="inlineStr">
        <is>
          <t>true</t>
        </is>
      </c>
      <c r="M26" t="inlineStr">
        <is>
          <t>true</t>
        </is>
      </c>
      <c r="N26" t="inlineStr">
        <is>
          <t>true</t>
        </is>
      </c>
    </row>
    <row r="27">
      <c r="A27" t="inlineStr">
        <is>
          <t>4700134128</t>
        </is>
      </c>
      <c r="B27" t="inlineStr">
        <is>
          <t>Пилот 2026 · BOQ/КСГ</t>
        </is>
      </c>
      <c r="C27" t="inlineStr">
        <is>
          <t>USD</t>
        </is>
      </c>
      <c r="D27" s="2" t="n">
        <v>80</v>
      </c>
      <c r="E27" t="inlineStr">
        <is>
          <t>ВЗиС для ОР</t>
        </is>
      </c>
      <c r="F27" t="inlineStr">
        <is>
          <t>Косвенные</t>
        </is>
      </c>
      <c r="G27" s="2" t="n">
        <v>20.83333333333334</v>
      </c>
      <c r="H27" t="inlineStr">
        <is>
          <t>annualPerPerson</t>
        </is>
      </c>
      <c r="I27" t="inlineStr"/>
      <c r="J27" t="inlineStr">
        <is>
          <t>Исходная модель, Детальная модель!F72</t>
        </is>
      </c>
      <c r="K27" s="2" t="n">
        <v>0</v>
      </c>
      <c r="L27" t="inlineStr">
        <is>
          <t>true</t>
        </is>
      </c>
      <c r="M27" t="inlineStr">
        <is>
          <t>true</t>
        </is>
      </c>
      <c r="N27" t="inlineStr">
        <is>
          <t>true</t>
        </is>
      </c>
    </row>
    <row r="28">
      <c r="A28" t="inlineStr">
        <is>
          <t>4700134128</t>
        </is>
      </c>
      <c r="B28" t="inlineStr">
        <is>
          <t>Пилот 2026 · BOQ/КСГ</t>
        </is>
      </c>
      <c r="C28" t="inlineStr">
        <is>
          <t>USD</t>
        </is>
      </c>
      <c r="D28" s="2" t="n">
        <v>80</v>
      </c>
      <c r="E28" t="inlineStr">
        <is>
          <t>Аренда офиса</t>
        </is>
      </c>
      <c r="F28" t="inlineStr">
        <is>
          <t>Косвенные</t>
        </is>
      </c>
      <c r="G28" s="2" t="n">
        <v>3750</v>
      </c>
      <c r="H28" t="inlineStr">
        <is>
          <t>monthly</t>
        </is>
      </c>
      <c r="I28" t="inlineStr"/>
      <c r="J28" t="inlineStr">
        <is>
          <t>Исходная модель, Детальная модель!F73</t>
        </is>
      </c>
      <c r="K28" s="2" t="n">
        <v>0</v>
      </c>
      <c r="L28" t="inlineStr">
        <is>
          <t>true</t>
        </is>
      </c>
      <c r="M28" t="inlineStr">
        <is>
          <t>true</t>
        </is>
      </c>
      <c r="N28" t="inlineStr">
        <is>
          <t>true</t>
        </is>
      </c>
    </row>
    <row r="29">
      <c r="A29" t="inlineStr">
        <is>
          <t>4700134128</t>
        </is>
      </c>
      <c r="B29" t="inlineStr">
        <is>
          <t>Пилот 2026 · BOQ/КСГ</t>
        </is>
      </c>
      <c r="C29" t="inlineStr">
        <is>
          <t>USD</t>
        </is>
      </c>
      <c r="D29" s="2" t="n">
        <v>80</v>
      </c>
      <c r="E29" t="inlineStr">
        <is>
          <t>Аренда склада</t>
        </is>
      </c>
      <c r="F29" t="inlineStr">
        <is>
          <t>Косвенные</t>
        </is>
      </c>
      <c r="G29" s="2" t="n">
        <v>10000</v>
      </c>
      <c r="H29" t="inlineStr">
        <is>
          <t>monthly</t>
        </is>
      </c>
      <c r="I29" t="inlineStr"/>
      <c r="J29" t="inlineStr">
        <is>
          <t>Исходная модель, Детальная модель!F74</t>
        </is>
      </c>
      <c r="K29" s="2" t="n">
        <v>0</v>
      </c>
      <c r="L29" t="inlineStr">
        <is>
          <t>true</t>
        </is>
      </c>
      <c r="M29" t="inlineStr">
        <is>
          <t>true</t>
        </is>
      </c>
      <c r="N29" t="inlineStr">
        <is>
          <t>true</t>
        </is>
      </c>
    </row>
    <row r="30">
      <c r="A30" t="inlineStr">
        <is>
          <t>4700134128</t>
        </is>
      </c>
      <c r="B30" t="inlineStr">
        <is>
          <t>Пилот 2026 · BOQ/КСГ</t>
        </is>
      </c>
      <c r="C30" t="inlineStr">
        <is>
          <t>USD</t>
        </is>
      </c>
      <c r="D30" s="2" t="n">
        <v>80</v>
      </c>
      <c r="E30" t="inlineStr">
        <is>
          <t>Интернет</t>
        </is>
      </c>
      <c r="F30" t="inlineStr">
        <is>
          <t>Косвенные</t>
        </is>
      </c>
      <c r="G30" s="2" t="n">
        <v>0</v>
      </c>
      <c r="H30" t="inlineStr">
        <is>
          <t>monthly</t>
        </is>
      </c>
      <c r="I30" t="inlineStr"/>
      <c r="J30" t="inlineStr">
        <is>
          <t>Исходная модель, строка 74</t>
        </is>
      </c>
      <c r="K30" s="2" t="n">
        <v>0</v>
      </c>
      <c r="L30" t="inlineStr">
        <is>
          <t>true</t>
        </is>
      </c>
      <c r="M30" t="inlineStr">
        <is>
          <t>true</t>
        </is>
      </c>
      <c r="N30" t="inlineStr">
        <is>
          <t>true</t>
        </is>
      </c>
    </row>
    <row r="31">
      <c r="A31" t="inlineStr">
        <is>
          <t>4700134128</t>
        </is>
      </c>
      <c r="B31" t="inlineStr">
        <is>
          <t>Пилот 2026 · BOQ/КСГ</t>
        </is>
      </c>
      <c r="C31" t="inlineStr">
        <is>
          <t>USD</t>
        </is>
      </c>
      <c r="D31" s="2" t="n">
        <v>80</v>
      </c>
      <c r="E31" t="inlineStr">
        <is>
          <t>Обращение с ТБО и ЖБО</t>
        </is>
      </c>
      <c r="F31" t="inlineStr">
        <is>
          <t>Косвенные</t>
        </is>
      </c>
      <c r="G31" s="2" t="n">
        <v>0</v>
      </c>
      <c r="H31" t="inlineStr">
        <is>
          <t>monthly</t>
        </is>
      </c>
      <c r="I31" t="inlineStr"/>
      <c r="J31" t="inlineStr">
        <is>
          <t>Исходная модель, строка 74</t>
        </is>
      </c>
      <c r="K31" s="2" t="n">
        <v>0</v>
      </c>
      <c r="L31" t="inlineStr">
        <is>
          <t>true</t>
        </is>
      </c>
      <c r="M31" t="inlineStr">
        <is>
          <t>true</t>
        </is>
      </c>
      <c r="N31" t="inlineStr">
        <is>
          <t>true</t>
        </is>
      </c>
    </row>
    <row r="32">
      <c r="A32" t="inlineStr">
        <is>
          <t>4700134128</t>
        </is>
      </c>
      <c r="B32" t="inlineStr">
        <is>
          <t>Пилот 2026 · BOQ/КСГ</t>
        </is>
      </c>
      <c r="C32" t="inlineStr">
        <is>
          <t>USD</t>
        </is>
      </c>
      <c r="D32" s="2" t="n">
        <v>80</v>
      </c>
      <c r="E32" t="inlineStr">
        <is>
          <t>Охрана труда</t>
        </is>
      </c>
      <c r="F32" t="inlineStr">
        <is>
          <t>Косвенные</t>
        </is>
      </c>
      <c r="G32" s="2" t="n">
        <v>1</v>
      </c>
      <c r="H32" t="inlineStr">
        <is>
          <t>percentPayroll</t>
        </is>
      </c>
      <c r="I32" t="inlineStr"/>
      <c r="J32" t="inlineStr">
        <is>
          <t>Исходная модель, Детальная модель!F75</t>
        </is>
      </c>
      <c r="K32" s="2" t="n">
        <v>0</v>
      </c>
      <c r="L32" t="inlineStr">
        <is>
          <t>true</t>
        </is>
      </c>
      <c r="M32" t="inlineStr">
        <is>
          <t>true</t>
        </is>
      </c>
      <c r="N32" t="inlineStr">
        <is>
          <t>true</t>
        </is>
      </c>
    </row>
    <row r="33">
      <c r="A33" t="inlineStr">
        <is>
          <t>4700134128</t>
        </is>
      </c>
      <c r="B33" t="inlineStr">
        <is>
          <t>Пилот 2026 · BOQ/КСГ</t>
        </is>
      </c>
      <c r="C33" t="inlineStr">
        <is>
          <t>USD</t>
        </is>
      </c>
      <c r="D33" s="2" t="n">
        <v>80</v>
      </c>
      <c r="E33" t="inlineStr">
        <is>
          <t>Страхование от НС</t>
        </is>
      </c>
      <c r="F33" t="inlineStr">
        <is>
          <t>Косвенные</t>
        </is>
      </c>
      <c r="G33" s="2" t="n">
        <v>62.5</v>
      </c>
      <c r="H33" t="inlineStr">
        <is>
          <t>annualPerPerson</t>
        </is>
      </c>
      <c r="I33" t="inlineStr"/>
      <c r="J33" t="inlineStr">
        <is>
          <t>Исходная модель, Детальная модель!F76</t>
        </is>
      </c>
      <c r="K33" s="2" t="n">
        <v>0</v>
      </c>
      <c r="L33" t="inlineStr">
        <is>
          <t>true</t>
        </is>
      </c>
      <c r="M33" t="inlineStr">
        <is>
          <t>true</t>
        </is>
      </c>
      <c r="N33" t="inlineStr">
        <is>
          <t>true</t>
        </is>
      </c>
    </row>
    <row r="34">
      <c r="A34" t="inlineStr">
        <is>
          <t>4700134128</t>
        </is>
      </c>
      <c r="B34" t="inlineStr">
        <is>
          <t>Пилот 2026 · BOQ/КСГ</t>
        </is>
      </c>
      <c r="C34" t="inlineStr">
        <is>
          <t>USD</t>
        </is>
      </c>
      <c r="D34" s="2" t="n">
        <v>80</v>
      </c>
      <c r="E34" t="inlineStr">
        <is>
          <t>IT-материалы</t>
        </is>
      </c>
      <c r="F34" t="inlineStr">
        <is>
          <t>Косвенные</t>
        </is>
      </c>
      <c r="G34" s="2" t="n">
        <v>0</v>
      </c>
      <c r="H34" t="inlineStr">
        <is>
          <t>manual</t>
        </is>
      </c>
      <c r="I34" t="inlineStr"/>
      <c r="J34" t="inlineStr">
        <is>
          <t>Исходная модель, строка 77</t>
        </is>
      </c>
      <c r="K34" s="2" t="n">
        <v>0</v>
      </c>
      <c r="L34" t="inlineStr">
        <is>
          <t>true</t>
        </is>
      </c>
      <c r="M34" t="inlineStr">
        <is>
          <t>true</t>
        </is>
      </c>
      <c r="N34" t="inlineStr">
        <is>
          <t>true</t>
        </is>
      </c>
    </row>
    <row r="35">
      <c r="A35" t="inlineStr">
        <is>
          <t>4700134128</t>
        </is>
      </c>
      <c r="B35" t="inlineStr">
        <is>
          <t>Пилот 2026 · BOQ/КСГ</t>
        </is>
      </c>
      <c r="C35" t="inlineStr">
        <is>
          <t>USD</t>
        </is>
      </c>
      <c r="D35" s="2" t="n">
        <v>80</v>
      </c>
      <c r="E35" t="inlineStr">
        <is>
          <t>Приобретение контейнеров</t>
        </is>
      </c>
      <c r="F35" t="inlineStr">
        <is>
          <t>Косвенные</t>
        </is>
      </c>
      <c r="G35" s="2" t="n">
        <v>0</v>
      </c>
      <c r="H35" t="inlineStr">
        <is>
          <t>manual</t>
        </is>
      </c>
      <c r="I35" t="inlineStr"/>
      <c r="J35" t="inlineStr">
        <is>
          <t>Исходная модель, строка 77</t>
        </is>
      </c>
      <c r="K35" s="2" t="n">
        <v>0</v>
      </c>
      <c r="L35" t="inlineStr">
        <is>
          <t>true</t>
        </is>
      </c>
      <c r="M35" t="inlineStr">
        <is>
          <t>true</t>
        </is>
      </c>
      <c r="N35" t="inlineStr">
        <is>
          <t>true</t>
        </is>
      </c>
    </row>
    <row r="36">
      <c r="A36" t="inlineStr">
        <is>
          <t>4700134128</t>
        </is>
      </c>
      <c r="B36" t="inlineStr">
        <is>
          <t>Пилот 2026 · BOQ/КСГ</t>
        </is>
      </c>
      <c r="C36" t="inlineStr">
        <is>
          <t>USD</t>
        </is>
      </c>
      <c r="D36" s="2" t="n">
        <v>80</v>
      </c>
      <c r="E36" t="inlineStr">
        <is>
          <t>Приобретение модульного офиса</t>
        </is>
      </c>
      <c r="F36" t="inlineStr">
        <is>
          <t>Косвенные</t>
        </is>
      </c>
      <c r="G36" s="2" t="n">
        <v>0</v>
      </c>
      <c r="H36" t="inlineStr">
        <is>
          <t>manual</t>
        </is>
      </c>
      <c r="I36" t="inlineStr"/>
      <c r="J36" t="inlineStr">
        <is>
          <t>Исходная модель, строка 77</t>
        </is>
      </c>
      <c r="K36" s="2" t="n">
        <v>0</v>
      </c>
      <c r="L36" t="inlineStr">
        <is>
          <t>true</t>
        </is>
      </c>
      <c r="M36" t="inlineStr">
        <is>
          <t>true</t>
        </is>
      </c>
      <c r="N36" t="inlineStr">
        <is>
          <t>true</t>
        </is>
      </c>
    </row>
    <row r="37">
      <c r="A37" t="inlineStr">
        <is>
          <t>4700134128</t>
        </is>
      </c>
      <c r="B37" t="inlineStr">
        <is>
          <t>Пилот 2026 · BOQ/КСГ</t>
        </is>
      </c>
      <c r="C37" t="inlineStr">
        <is>
          <t>USD</t>
        </is>
      </c>
      <c r="D37" s="2" t="n">
        <v>80</v>
      </c>
      <c r="E37" t="inlineStr">
        <is>
          <t>Транспортные услуги</t>
        </is>
      </c>
      <c r="F37" t="inlineStr">
        <is>
          <t>Косвенные</t>
        </is>
      </c>
      <c r="G37" s="2" t="n">
        <v>0</v>
      </c>
      <c r="H37" t="inlineStr">
        <is>
          <t>manual</t>
        </is>
      </c>
      <c r="I37" t="inlineStr"/>
      <c r="J37" t="inlineStr">
        <is>
          <t>Исходная модель, строка 77</t>
        </is>
      </c>
      <c r="K37" s="2" t="n">
        <v>0</v>
      </c>
      <c r="L37" t="inlineStr">
        <is>
          <t>true</t>
        </is>
      </c>
      <c r="M37" t="inlineStr">
        <is>
          <t>true</t>
        </is>
      </c>
      <c r="N37" t="inlineStr">
        <is>
          <t>true</t>
        </is>
      </c>
    </row>
    <row r="38">
      <c r="A38" t="inlineStr">
        <is>
          <t>4700134128</t>
        </is>
      </c>
      <c r="B38" t="inlineStr">
        <is>
          <t>Пилот 2026 · BOQ/КСГ</t>
        </is>
      </c>
      <c r="C38" t="inlineStr">
        <is>
          <t>USD</t>
        </is>
      </c>
      <c r="D38" s="2" t="n">
        <v>80</v>
      </c>
      <c r="E38" t="inlineStr">
        <is>
          <t>Прочие косвенные расходы</t>
        </is>
      </c>
      <c r="F38" t="inlineStr">
        <is>
          <t>Косвенные</t>
        </is>
      </c>
      <c r="G38" s="2" t="n">
        <v>10</v>
      </c>
      <c r="H38" t="inlineStr">
        <is>
          <t>percentDirect</t>
        </is>
      </c>
      <c r="I38" t="inlineStr"/>
      <c r="J38" t="inlineStr">
        <is>
          <t>Исходная модель, Детальная модель!F77</t>
        </is>
      </c>
      <c r="K38" s="2" t="n">
        <v>0</v>
      </c>
      <c r="L38" t="inlineStr">
        <is>
          <t>true</t>
        </is>
      </c>
      <c r="M38" t="inlineStr">
        <is>
          <t>true</t>
        </is>
      </c>
      <c r="N38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32" customWidth="1" min="2" max="2"/>
    <col width="27" customWidth="1" min="3" max="3"/>
    <col width="17" customWidth="1" min="4" max="20"/>
  </cols>
  <sheetData>
    <row r="1">
      <c r="A1" s="1" t="inlineStr">
        <is>
          <t>Договор</t>
        </is>
      </c>
      <c r="B1" s="1" t="inlineStr">
        <is>
          <t>Версия</t>
        </is>
      </c>
      <c r="C1" s="1" t="inlineStr">
        <is>
          <t>Год</t>
        </is>
      </c>
      <c r="D1" s="1" t="inlineStr">
        <is>
          <t>Валюта</t>
        </is>
      </c>
      <c r="E1" s="1" t="inlineStr">
        <is>
          <t>Курс к RUB</t>
        </is>
      </c>
      <c r="F1" s="1" t="inlineStr">
        <is>
          <t>Показатель</t>
        </is>
      </c>
      <c r="G1" s="1" t="inlineStr">
        <is>
          <t>Янв</t>
        </is>
      </c>
      <c r="H1" s="1" t="inlineStr">
        <is>
          <t>Фев</t>
        </is>
      </c>
      <c r="I1" s="1" t="inlineStr">
        <is>
          <t>Мар</t>
        </is>
      </c>
      <c r="J1" s="1" t="inlineStr">
        <is>
          <t>Апр</t>
        </is>
      </c>
      <c r="K1" s="1" t="inlineStr">
        <is>
          <t>Май</t>
        </is>
      </c>
      <c r="L1" s="1" t="inlineStr">
        <is>
          <t>Июн</t>
        </is>
      </c>
      <c r="M1" s="1" t="inlineStr">
        <is>
          <t>Июл</t>
        </is>
      </c>
      <c r="N1" s="1" t="inlineStr">
        <is>
          <t>Авг</t>
        </is>
      </c>
      <c r="O1" s="1" t="inlineStr">
        <is>
          <t>Сен</t>
        </is>
      </c>
      <c r="P1" s="1" t="inlineStr">
        <is>
          <t>Окт</t>
        </is>
      </c>
      <c r="Q1" s="1" t="inlineStr">
        <is>
          <t>Ноя</t>
        </is>
      </c>
      <c r="R1" s="1" t="inlineStr">
        <is>
          <t>Дек</t>
        </is>
      </c>
      <c r="S1" s="1" t="inlineStr">
        <is>
          <t>Итого / конец года</t>
        </is>
      </c>
    </row>
    <row r="2">
      <c r="A2" t="inlineStr">
        <is>
          <t>4700134128</t>
        </is>
      </c>
      <c r="B2" t="inlineStr">
        <is>
          <t>Пилот 2026 · BOQ/КСГ</t>
        </is>
      </c>
      <c r="C2" s="2" t="n">
        <v>2026</v>
      </c>
      <c r="D2" t="inlineStr">
        <is>
          <t>USD</t>
        </is>
      </c>
      <c r="E2" s="2" t="n">
        <v>80</v>
      </c>
      <c r="F2" t="inlineStr">
        <is>
          <t>Источник: Физический объём выполнения (КСГ / KQ-2)</t>
        </is>
      </c>
      <c r="G2" s="2" t="n">
        <v>3185.86</v>
      </c>
      <c r="H2" s="2" t="n">
        <v>1088.27</v>
      </c>
      <c r="I2" s="2" t="n">
        <v>3582.75</v>
      </c>
      <c r="J2" s="2" t="n">
        <v>3271.08</v>
      </c>
      <c r="K2" s="2" t="n">
        <v>9522.839999999998</v>
      </c>
      <c r="L2" s="2" t="n">
        <v>29722.55000000001</v>
      </c>
      <c r="M2" s="2" t="n">
        <v>29936.07999999999</v>
      </c>
      <c r="N2" s="2" t="n">
        <v>77461.05249999999</v>
      </c>
      <c r="O2" s="2" t="n">
        <v>154808.9133333333</v>
      </c>
      <c r="P2" s="2" t="n">
        <v>136962.6966666667</v>
      </c>
      <c r="Q2" s="2" t="n">
        <v>125749.2825</v>
      </c>
      <c r="R2" s="2" t="n">
        <v>122014.1975</v>
      </c>
      <c r="S2" s="2" t="n">
        <v>697305.5724999999</v>
      </c>
    </row>
    <row r="3">
      <c r="A3" t="inlineStr">
        <is>
          <t>4700134128</t>
        </is>
      </c>
      <c r="B3" t="inlineStr">
        <is>
          <t>Пилот 2026 · BOQ/КСГ</t>
        </is>
      </c>
      <c r="C3" s="2" t="n">
        <v>2026</v>
      </c>
      <c r="D3" t="inlineStr">
        <is>
          <t>USD</t>
        </is>
      </c>
      <c r="E3" s="2" t="n">
        <v>80</v>
      </c>
      <c r="F3" t="inlineStr">
        <is>
          <t>Источник: Расценка BOQ на единицу KQ-2</t>
        </is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</row>
    <row r="4">
      <c r="A4" t="inlineStr">
        <is>
          <t>4700134128</t>
        </is>
      </c>
      <c r="B4" t="inlineStr">
        <is>
          <t>Пилот 2026 · BOQ/КСГ</t>
        </is>
      </c>
      <c r="C4" s="2" t="n">
        <v>2026</v>
      </c>
      <c r="D4" t="inlineStr">
        <is>
          <t>USD</t>
        </is>
      </c>
      <c r="E4" s="2" t="n">
        <v>80</v>
      </c>
      <c r="F4" t="inlineStr">
        <is>
          <t>Источник: Выполнение в денежном выражении (ручной ряд)</t>
        </is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</row>
    <row r="5">
      <c r="A5" t="inlineStr">
        <is>
          <t>4700134128</t>
        </is>
      </c>
      <c r="B5" t="inlineStr">
        <is>
          <t>Пилот 2026 · BOQ/КСГ</t>
        </is>
      </c>
      <c r="C5" s="2" t="n">
        <v>2026</v>
      </c>
      <c r="D5" t="inlineStr">
        <is>
          <t>USD</t>
        </is>
      </c>
      <c r="E5" s="2" t="n">
        <v>80</v>
      </c>
      <c r="F5" t="inlineStr">
        <is>
          <t>Источник: Прочие доходы</t>
        </is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</row>
    <row r="6">
      <c r="A6" t="inlineStr">
        <is>
          <t>4700134128</t>
        </is>
      </c>
      <c r="B6" t="inlineStr">
        <is>
          <t>Пилот 2026 · BOQ/КСГ</t>
        </is>
      </c>
      <c r="C6" s="2" t="n">
        <v>2026</v>
      </c>
      <c r="D6" t="inlineStr">
        <is>
          <t>USD</t>
        </is>
      </c>
      <c r="E6" s="2" t="n">
        <v>80</v>
      </c>
      <c r="F6" t="inlineStr">
        <is>
          <t>Источник: Материалы</t>
        </is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</row>
    <row r="7">
      <c r="A7" t="inlineStr">
        <is>
          <t>4700134128</t>
        </is>
      </c>
      <c r="B7" t="inlineStr">
        <is>
          <t>Пилот 2026 · BOQ/КСГ</t>
        </is>
      </c>
      <c r="C7" s="2" t="n">
        <v>2026</v>
      </c>
      <c r="D7" t="inlineStr">
        <is>
          <t>USD</t>
        </is>
      </c>
      <c r="E7" s="2" t="n">
        <v>80</v>
      </c>
      <c r="F7" t="inlineStr">
        <is>
          <t>Источник: Основной персонал, FTE</t>
        </is>
      </c>
      <c r="G7" s="2" t="n">
        <v>189.9032258064516</v>
      </c>
      <c r="H7" s="2" t="n">
        <v>261.6071428571428</v>
      </c>
      <c r="I7" s="2" t="n">
        <v>286.1612903225807</v>
      </c>
      <c r="J7" s="2" t="n">
        <v>300.1333333333333</v>
      </c>
      <c r="K7" s="2" t="n">
        <v>316.9032258064516</v>
      </c>
      <c r="L7" s="2" t="n">
        <v>337.4333333333333</v>
      </c>
      <c r="M7" s="2" t="n">
        <v>391.1612903225807</v>
      </c>
      <c r="N7" s="2" t="n">
        <v>637.1404961777292</v>
      </c>
      <c r="O7" s="2" t="n">
        <v>984.3750092735177</v>
      </c>
      <c r="P7" s="2" t="n">
        <v>1035.886096169574</v>
      </c>
      <c r="Q7" s="2" t="n">
        <v>897.9063647556046</v>
      </c>
      <c r="R7" s="2" t="n">
        <v>896.4516714544739</v>
      </c>
      <c r="S7" s="2" t="n">
        <v>6535.062479612774</v>
      </c>
    </row>
    <row r="8">
      <c r="A8" t="inlineStr">
        <is>
          <t>4700134128</t>
        </is>
      </c>
      <c r="B8" t="inlineStr">
        <is>
          <t>Пилот 2026 · BOQ/КСГ</t>
        </is>
      </c>
      <c r="C8" s="2" t="n">
        <v>2026</v>
      </c>
      <c r="D8" t="inlineStr">
        <is>
          <t>USD</t>
        </is>
      </c>
      <c r="E8" s="2" t="n">
        <v>80</v>
      </c>
      <c r="F8" t="inlineStr">
        <is>
          <t>Источник: Вспомогательный персонал, FTE</t>
        </is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</row>
    <row r="9">
      <c r="A9" t="inlineStr">
        <is>
          <t>4700134128</t>
        </is>
      </c>
      <c r="B9" t="inlineStr">
        <is>
          <t>Пилот 2026 · BOQ/КСГ</t>
        </is>
      </c>
      <c r="C9" s="2" t="n">
        <v>2026</v>
      </c>
      <c r="D9" t="inlineStr">
        <is>
          <t>USD</t>
        </is>
      </c>
      <c r="E9" s="2" t="n">
        <v>80</v>
      </c>
      <c r="F9" t="inlineStr">
        <is>
          <t>Источник: Косвенный персонал, FTE</t>
        </is>
      </c>
      <c r="G9" s="2" t="n">
        <v>132.1612903225806</v>
      </c>
      <c r="H9" s="2" t="n">
        <v>159.3928571428571</v>
      </c>
      <c r="I9" s="2" t="n">
        <v>149.0645161290323</v>
      </c>
      <c r="J9" s="2" t="n">
        <v>134.7333333333333</v>
      </c>
      <c r="K9" s="2" t="n">
        <v>140.3548387096774</v>
      </c>
      <c r="L9" s="2" t="n">
        <v>149.9333333333333</v>
      </c>
      <c r="M9" s="2" t="n">
        <v>153.2258064516129</v>
      </c>
      <c r="N9" s="2" t="n">
        <v>201.403326978248</v>
      </c>
      <c r="O9" s="2" t="n">
        <v>256.284618152413</v>
      </c>
      <c r="P9" s="2" t="n">
        <v>262.9901415105865</v>
      </c>
      <c r="Q9" s="2" t="n">
        <v>245.4750357357657</v>
      </c>
      <c r="R9" s="2" t="n">
        <v>245.2761893392504</v>
      </c>
      <c r="S9" s="2" t="n">
        <v>2230.295287138691</v>
      </c>
    </row>
    <row r="10">
      <c r="A10" t="inlineStr">
        <is>
          <t>4700134128</t>
        </is>
      </c>
      <c r="B10" t="inlineStr">
        <is>
          <t>Пилот 2026 · BOQ/КСГ</t>
        </is>
      </c>
      <c r="C10" s="2" t="n">
        <v>2026</v>
      </c>
      <c r="D10" t="inlineStr">
        <is>
          <t>USD</t>
        </is>
      </c>
      <c r="E10" s="2" t="n">
        <v>80</v>
      </c>
      <c r="F10" t="inlineStr">
        <is>
          <t>Источник: Трудоёмкость для бытовых расходов, чел.</t>
        </is>
      </c>
      <c r="G10" s="2" t="n">
        <v>409.7039170506912</v>
      </c>
      <c r="H10" s="2" t="n">
        <v>470.4112903225807</v>
      </c>
      <c r="I10" s="2" t="n">
        <v>472.2623655913978</v>
      </c>
      <c r="J10" s="2" t="n">
        <v>479.4365591397849</v>
      </c>
      <c r="K10" s="2" t="n">
        <v>503.9494623655914</v>
      </c>
      <c r="L10" s="2" t="n">
        <v>572.3612903225807</v>
      </c>
      <c r="M10" s="2" t="n">
        <v>824.8501735970842</v>
      </c>
      <c r="N10" s="2" t="n">
        <v>1239.05553493447</v>
      </c>
      <c r="O10" s="2" t="n">
        <v>1348.235840760952</v>
      </c>
      <c r="P10" s="2" t="n">
        <v>1347.473505330072</v>
      </c>
      <c r="Q10" s="2" t="n">
        <v>1191.899935967774</v>
      </c>
      <c r="R10" s="2" t="n">
        <v>1178.489602701329</v>
      </c>
      <c r="S10" s="2" t="n">
        <v>10038.12947808431</v>
      </c>
    </row>
    <row r="11">
      <c r="A11" t="inlineStr">
        <is>
          <t>4700134128</t>
        </is>
      </c>
      <c r="B11" t="inlineStr">
        <is>
          <t>Пилот 2026 · BOQ/КСГ</t>
        </is>
      </c>
      <c r="C11" s="2" t="n">
        <v>2026</v>
      </c>
      <c r="D11" t="inlineStr">
        <is>
          <t>USD</t>
        </is>
      </c>
      <c r="E11" s="2" t="n">
        <v>80</v>
      </c>
      <c r="F11" t="inlineStr">
        <is>
          <t>Источник: Дней по календарю исходной модели</t>
        </is>
      </c>
      <c r="G11" s="2" t="n">
        <v>28</v>
      </c>
      <c r="H11" s="2" t="n">
        <v>31</v>
      </c>
      <c r="I11" s="2" t="n">
        <v>30</v>
      </c>
      <c r="J11" s="2" t="n">
        <v>31</v>
      </c>
      <c r="K11" s="2" t="n">
        <v>30</v>
      </c>
      <c r="L11" s="2" t="n">
        <v>31</v>
      </c>
      <c r="M11" s="2" t="n">
        <v>31</v>
      </c>
      <c r="N11" s="2" t="n">
        <v>30</v>
      </c>
      <c r="O11" s="2" t="n">
        <v>31</v>
      </c>
      <c r="P11" s="2" t="n">
        <v>30</v>
      </c>
      <c r="Q11" s="2" t="n">
        <v>31</v>
      </c>
      <c r="R11" s="2" t="n">
        <v>31</v>
      </c>
      <c r="S11" s="2" t="n">
        <v>365</v>
      </c>
    </row>
    <row r="12">
      <c r="A12" t="inlineStr">
        <is>
          <t>4700134128</t>
        </is>
      </c>
      <c r="B12" t="inlineStr">
        <is>
          <t>Пилот 2026 · BOQ/КСГ</t>
        </is>
      </c>
      <c r="C12" s="2" t="n">
        <v>2026</v>
      </c>
      <c r="D12" t="inlineStr">
        <is>
          <t>USD</t>
        </is>
      </c>
      <c r="E12" s="2" t="n">
        <v>80</v>
      </c>
      <c r="F12" t="inlineStr">
        <is>
          <t>Источник: Пассивно неработающие, чел.</t>
        </is>
      </c>
      <c r="G12" s="2" t="n">
        <v>71.70391705069122</v>
      </c>
      <c r="H12" s="2" t="n">
        <v>24.55414746543784</v>
      </c>
      <c r="I12" s="2" t="n">
        <v>13.97204301075266</v>
      </c>
      <c r="J12" s="2" t="n">
        <v>16.76989247311826</v>
      </c>
      <c r="K12" s="2" t="n">
        <v>20.53010752688175</v>
      </c>
      <c r="L12" s="2" t="n">
        <v>53.72795698924733</v>
      </c>
      <c r="M12" s="2" t="n">
        <v>245.9792058551486</v>
      </c>
      <c r="N12" s="2" t="n">
        <v>347.2345130957884</v>
      </c>
      <c r="O12" s="2" t="n">
        <v>51.51108689605621</v>
      </c>
      <c r="P12" s="2" t="n">
        <v>0</v>
      </c>
      <c r="Q12" s="2" t="n">
        <v>0</v>
      </c>
      <c r="R12" s="2" t="n">
        <v>0</v>
      </c>
      <c r="S12" s="2" t="n">
        <v>845.9828703631223</v>
      </c>
    </row>
    <row r="13">
      <c r="A13" t="inlineStr">
        <is>
          <t>4700134128</t>
        </is>
      </c>
      <c r="B13" t="inlineStr">
        <is>
          <t>Пилот 2026 · BOQ/КСГ</t>
        </is>
      </c>
      <c r="C13" s="2" t="n">
        <v>2026</v>
      </c>
      <c r="D13" t="inlineStr">
        <is>
          <t>USD</t>
        </is>
      </c>
      <c r="E13" s="2" t="n">
        <v>80</v>
      </c>
      <c r="F13" t="inlineStr">
        <is>
          <t>Источник: Лесовики, чел.</t>
        </is>
      </c>
      <c r="G13" s="2" t="n">
        <v>15.93548387096774</v>
      </c>
      <c r="H13" s="2" t="n">
        <v>24.85714285714286</v>
      </c>
      <c r="I13" s="2" t="n">
        <v>23.06451612903226</v>
      </c>
      <c r="J13" s="2" t="n">
        <v>27.8</v>
      </c>
      <c r="K13" s="2" t="n">
        <v>26.16129032258064</v>
      </c>
      <c r="L13" s="2" t="n">
        <v>31.26666666666667</v>
      </c>
      <c r="M13" s="2" t="n">
        <v>34.48387096774194</v>
      </c>
      <c r="N13" s="2" t="n">
        <v>53.27719868270442</v>
      </c>
      <c r="O13" s="2" t="n">
        <v>56.06512643896534</v>
      </c>
      <c r="P13" s="2" t="n">
        <v>48.59726764991146</v>
      </c>
      <c r="Q13" s="2" t="n">
        <v>48.51853547640378</v>
      </c>
      <c r="R13" s="2" t="n">
        <v>36.76174190760432</v>
      </c>
      <c r="S13" s="2" t="n">
        <v>426.7888409697214</v>
      </c>
    </row>
    <row r="14">
      <c r="A14" t="inlineStr">
        <is>
          <t>4700134128</t>
        </is>
      </c>
      <c r="B14" t="inlineStr">
        <is>
          <t>Пилот 2026 · BOQ/КСГ</t>
        </is>
      </c>
      <c r="C14" s="2" t="n">
        <v>2026</v>
      </c>
      <c r="D14" t="inlineStr">
        <is>
          <t>USD</t>
        </is>
      </c>
      <c r="E14" s="2" t="n">
        <v>80</v>
      </c>
      <c r="F14" t="inlineStr">
        <is>
          <t>Источник: Техника, маш.-ч</t>
        </is>
      </c>
      <c r="G14" s="2" t="n">
        <v>6969.677419354838</v>
      </c>
      <c r="H14" s="2" t="n">
        <v>9387.857142857141</v>
      </c>
      <c r="I14" s="2" t="n">
        <v>8856.774193548386</v>
      </c>
      <c r="J14" s="2" t="n">
        <v>7895.333333333333</v>
      </c>
      <c r="K14" s="2" t="n">
        <v>6751.612903225807</v>
      </c>
      <c r="L14" s="2" t="n">
        <v>7132.666666666667</v>
      </c>
      <c r="M14" s="2" t="n">
        <v>8261.290322580646</v>
      </c>
      <c r="N14" s="2" t="n">
        <v>14951.49825637441</v>
      </c>
      <c r="O14" s="2" t="n">
        <v>23099.89919502152</v>
      </c>
      <c r="P14" s="2" t="n">
        <v>24308.6874144655</v>
      </c>
      <c r="Q14" s="2" t="n">
        <v>21070.77721094346</v>
      </c>
      <c r="R14" s="2" t="n">
        <v>21036.64055743313</v>
      </c>
      <c r="S14" s="2" t="n">
        <v>159722.7146158048</v>
      </c>
    </row>
    <row r="15">
      <c r="A15" t="inlineStr">
        <is>
          <t>4700134128</t>
        </is>
      </c>
      <c r="B15" t="inlineStr">
        <is>
          <t>Пилот 2026 · BOQ/КСГ</t>
        </is>
      </c>
      <c r="C15" s="2" t="n">
        <v>2026</v>
      </c>
      <c r="D15" t="inlineStr">
        <is>
          <t>USD</t>
        </is>
      </c>
      <c r="E15" s="2" t="n">
        <v>80</v>
      </c>
      <c r="F15" t="inlineStr">
        <is>
          <t>Источник: Объём НРК, ед.</t>
        </is>
      </c>
      <c r="G15" s="2" t="n">
        <v>2580.86</v>
      </c>
      <c r="H15" s="2" t="n">
        <v>2463.6</v>
      </c>
      <c r="I15" s="2" t="n">
        <v>2611.81</v>
      </c>
      <c r="J15" s="2" t="n">
        <v>1450.7</v>
      </c>
      <c r="K15" s="2" t="n">
        <v>517.33</v>
      </c>
      <c r="L15" s="2" t="n">
        <v>257.5</v>
      </c>
      <c r="M15" s="2" t="n">
        <v>257.5</v>
      </c>
      <c r="N15" s="2" t="n">
        <v>99.68000000000001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10238.98</v>
      </c>
    </row>
    <row r="16">
      <c r="A16" t="inlineStr">
        <is>
          <t>4700134128</t>
        </is>
      </c>
      <c r="B16" t="inlineStr">
        <is>
          <t>Пилот 2026 · BOQ/КСГ</t>
        </is>
      </c>
      <c r="C16" s="2" t="n">
        <v>2026</v>
      </c>
      <c r="D16" t="inlineStr">
        <is>
          <t>USD</t>
        </is>
      </c>
      <c r="E16" s="2" t="n">
        <v>80</v>
      </c>
      <c r="F16" t="inlineStr">
        <is>
          <t>Источник: Оплата за работы с НДС</t>
        </is>
      </c>
      <c r="G16" s="2" t="n">
        <v>1509602.26</v>
      </c>
      <c r="H16" s="2" t="n">
        <v>757302.5699999999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2266904.83</v>
      </c>
    </row>
    <row r="17">
      <c r="A17" t="inlineStr">
        <is>
          <t>4700134128</t>
        </is>
      </c>
      <c r="B17" t="inlineStr">
        <is>
          <t>Пилот 2026 · BOQ/КСГ</t>
        </is>
      </c>
      <c r="C17" s="2" t="n">
        <v>2026</v>
      </c>
      <c r="D17" t="inlineStr">
        <is>
          <t>USD</t>
        </is>
      </c>
      <c r="E17" s="2" t="n">
        <v>80</v>
      </c>
      <c r="F17" t="inlineStr">
        <is>
          <t>Источник: Полученные авансы с НДС</t>
        </is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</row>
    <row r="18">
      <c r="A18" t="inlineStr">
        <is>
          <t>4700134128</t>
        </is>
      </c>
      <c r="B18" t="inlineStr">
        <is>
          <t>Пилот 2026 · BOQ/КСГ</t>
        </is>
      </c>
      <c r="C18" s="2" t="n">
        <v>2026</v>
      </c>
      <c r="D18" t="inlineStr">
        <is>
          <t>USD</t>
        </is>
      </c>
      <c r="E18" s="2" t="n">
        <v>80</v>
      </c>
      <c r="F18" t="inlineStr">
        <is>
          <t>Источник: Зачёт авансов с НДС</t>
        </is>
      </c>
      <c r="G18" s="2" t="n">
        <v>0</v>
      </c>
      <c r="H18" s="2" t="n">
        <v>0</v>
      </c>
      <c r="I18" s="2" t="n">
        <v>855582.9300000001</v>
      </c>
      <c r="J18" s="2" t="n">
        <v>951327.04</v>
      </c>
      <c r="K18" s="2" t="n">
        <v>283103.6583333334</v>
      </c>
      <c r="L18" s="2" t="n">
        <v>1154294.63</v>
      </c>
      <c r="M18" s="2" t="n">
        <v>477425.03</v>
      </c>
      <c r="N18" s="2" t="n">
        <v>-356263.83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3365469.458333334</v>
      </c>
    </row>
    <row r="19">
      <c r="A19" t="inlineStr">
        <is>
          <t>4700134128</t>
        </is>
      </c>
      <c r="B19" t="inlineStr">
        <is>
          <t>Пилот 2026 · BOQ/КСГ</t>
        </is>
      </c>
      <c r="C19" s="2" t="n">
        <v>2026</v>
      </c>
      <c r="D19" t="inlineStr">
        <is>
          <t>USD</t>
        </is>
      </c>
      <c r="E19" s="2" t="n">
        <v>80</v>
      </c>
      <c r="F19" t="inlineStr">
        <is>
          <t>Источник: Поступления факторинга</t>
        </is>
      </c>
      <c r="G19" s="2" t="n">
        <v>0</v>
      </c>
      <c r="H19" s="2" t="n">
        <v>0</v>
      </c>
      <c r="I19" s="2" t="n">
        <v>855793.4600000001</v>
      </c>
      <c r="J19" s="2" t="n">
        <v>368843.94</v>
      </c>
      <c r="K19" s="2" t="n">
        <v>1075924.21</v>
      </c>
      <c r="L19" s="2" t="n">
        <v>1576418.99</v>
      </c>
      <c r="M19" s="2" t="n">
        <v>2192909.4</v>
      </c>
      <c r="N19" s="2" t="n">
        <v>1640058.1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7709948.100000001</v>
      </c>
    </row>
    <row r="20">
      <c r="A20" t="inlineStr">
        <is>
          <t>4700134128</t>
        </is>
      </c>
      <c r="B20" t="inlineStr">
        <is>
          <t>Пилот 2026 · BOQ/КСГ</t>
        </is>
      </c>
      <c r="C20" s="2" t="n">
        <v>2026</v>
      </c>
      <c r="D20" t="inlineStr">
        <is>
          <t>USD</t>
        </is>
      </c>
      <c r="E20" s="2" t="n">
        <v>80</v>
      </c>
      <c r="F20" t="inlineStr">
        <is>
          <t>Доходы</t>
        </is>
      </c>
      <c r="G20" s="2" t="n">
        <v>3275654.170213255</v>
      </c>
      <c r="H20" s="2" t="n">
        <v>2013326.462589337</v>
      </c>
      <c r="I20" s="2" t="n">
        <v>1594546.781151427</v>
      </c>
      <c r="J20" s="2" t="n">
        <v>1807406.417268968</v>
      </c>
      <c r="K20" s="2" t="n">
        <v>2587862.985967994</v>
      </c>
      <c r="L20" s="2" t="n">
        <v>3673215.333595605</v>
      </c>
      <c r="M20" s="2" t="n">
        <v>3205604.948701429</v>
      </c>
      <c r="N20" s="2" t="n">
        <v>4923965.106438276</v>
      </c>
      <c r="O20" s="2" t="n">
        <v>7428732.284122966</v>
      </c>
      <c r="P20" s="2" t="n">
        <v>8556529.652127374</v>
      </c>
      <c r="Q20" s="2" t="n">
        <v>7940044.421648627</v>
      </c>
      <c r="R20" s="2" t="n">
        <v>7660652.43371434</v>
      </c>
      <c r="S20" s="2">
        <f>SUM(G20:R20)</f>
        <v/>
      </c>
    </row>
    <row r="21">
      <c r="A21" t="inlineStr">
        <is>
          <t>4700134128</t>
        </is>
      </c>
      <c r="B21" t="inlineStr">
        <is>
          <t>Пилот 2026 · BOQ/КСГ</t>
        </is>
      </c>
      <c r="C21" s="2" t="n">
        <v>2026</v>
      </c>
      <c r="D21" t="inlineStr">
        <is>
          <t>USD</t>
        </is>
      </c>
      <c r="E21" s="2" t="n">
        <v>80</v>
      </c>
      <c r="F21" t="inlineStr">
        <is>
          <t>Прямые расходы</t>
        </is>
      </c>
      <c r="G21" s="2" t="n">
        <v>1467238.171833884</v>
      </c>
      <c r="H21" s="2" t="n">
        <v>1767258.85632608</v>
      </c>
      <c r="I21" s="2" t="n">
        <v>1787879.506502601</v>
      </c>
      <c r="J21" s="2" t="n">
        <v>1772741.077320426</v>
      </c>
      <c r="K21" s="2" t="n">
        <v>1764584.913944534</v>
      </c>
      <c r="L21" s="2" t="n">
        <v>1997339.567539405</v>
      </c>
      <c r="M21" s="2" t="n">
        <v>2267905.252248376</v>
      </c>
      <c r="N21" s="2" t="n">
        <v>3732980.226824917</v>
      </c>
      <c r="O21" s="2" t="n">
        <v>5338938.986038925</v>
      </c>
      <c r="P21" s="2" t="n">
        <v>5544906.269327209</v>
      </c>
      <c r="Q21" s="2" t="n">
        <v>4683410.742097946</v>
      </c>
      <c r="R21" s="2" t="n">
        <v>4511588.054813088</v>
      </c>
      <c r="S21" s="2">
        <f>SUM(G21:R21)</f>
        <v/>
      </c>
    </row>
    <row r="22">
      <c r="A22" t="inlineStr">
        <is>
          <t>4700134128</t>
        </is>
      </c>
      <c r="B22" t="inlineStr">
        <is>
          <t>Пилот 2026 · BOQ/КСГ</t>
        </is>
      </c>
      <c r="C22" s="2" t="n">
        <v>2026</v>
      </c>
      <c r="D22" t="inlineStr">
        <is>
          <t>USD</t>
        </is>
      </c>
      <c r="E22" s="2" t="n">
        <v>80</v>
      </c>
      <c r="F22" t="inlineStr">
        <is>
          <t>Косвенные расходы</t>
        </is>
      </c>
      <c r="G22" s="2" t="n">
        <v>878450.6100191928</v>
      </c>
      <c r="H22" s="2" t="n">
        <v>1043522.51126672</v>
      </c>
      <c r="I22" s="2" t="n">
        <v>1012164.679702147</v>
      </c>
      <c r="J22" s="2" t="n">
        <v>981243.4311455905</v>
      </c>
      <c r="K22" s="2" t="n">
        <v>1002964.364771628</v>
      </c>
      <c r="L22" s="2" t="n">
        <v>1114993.997778515</v>
      </c>
      <c r="M22" s="2" t="n">
        <v>1419429.873001257</v>
      </c>
      <c r="N22" s="2" t="n">
        <v>2031766.952200409</v>
      </c>
      <c r="O22" s="2" t="n">
        <v>2373708.142316355</v>
      </c>
      <c r="P22" s="2" t="n">
        <v>2387514.968436197</v>
      </c>
      <c r="Q22" s="2" t="n">
        <v>2159625.399062819</v>
      </c>
      <c r="R22" s="2" t="n">
        <v>2157228.482779391</v>
      </c>
      <c r="S22" s="2">
        <f>SUM(G22:R22)</f>
        <v/>
      </c>
    </row>
    <row r="23">
      <c r="A23" t="inlineStr">
        <is>
          <t>4700134128</t>
        </is>
      </c>
      <c r="B23" t="inlineStr">
        <is>
          <t>Пилот 2026 · BOQ/КСГ</t>
        </is>
      </c>
      <c r="C23" s="2" t="n">
        <v>2026</v>
      </c>
      <c r="D23" t="inlineStr">
        <is>
          <t>USD</t>
        </is>
      </c>
      <c r="E23" s="2" t="n">
        <v>80</v>
      </c>
      <c r="F23" t="inlineStr">
        <is>
          <t>Расходы</t>
        </is>
      </c>
      <c r="G23" s="2">
        <f>G21+G22</f>
        <v/>
      </c>
      <c r="H23" s="2">
        <f>H21+H22</f>
        <v/>
      </c>
      <c r="I23" s="2">
        <f>I21+I22</f>
        <v/>
      </c>
      <c r="J23" s="2">
        <f>J21+J22</f>
        <v/>
      </c>
      <c r="K23" s="2">
        <f>K21+K22</f>
        <v/>
      </c>
      <c r="L23" s="2">
        <f>L21+L22</f>
        <v/>
      </c>
      <c r="M23" s="2">
        <f>M21+M22</f>
        <v/>
      </c>
      <c r="N23" s="2">
        <f>N21+N22</f>
        <v/>
      </c>
      <c r="O23" s="2">
        <f>O21+O22</f>
        <v/>
      </c>
      <c r="P23" s="2">
        <f>P21+P22</f>
        <v/>
      </c>
      <c r="Q23" s="2">
        <f>Q21+Q22</f>
        <v/>
      </c>
      <c r="R23" s="2">
        <f>R21+R22</f>
        <v/>
      </c>
      <c r="S23" s="2">
        <f>SUM(G23:R23)</f>
        <v/>
      </c>
    </row>
    <row r="24">
      <c r="A24" t="inlineStr">
        <is>
          <t>4700134128</t>
        </is>
      </c>
      <c r="B24" t="inlineStr">
        <is>
          <t>Пилот 2026 · BOQ/КСГ</t>
        </is>
      </c>
      <c r="C24" s="2" t="n">
        <v>2026</v>
      </c>
      <c r="D24" t="inlineStr">
        <is>
          <t>USD</t>
        </is>
      </c>
      <c r="E24" s="2" t="n">
        <v>80</v>
      </c>
      <c r="F24" t="inlineStr">
        <is>
          <t>Финансовый результат</t>
        </is>
      </c>
      <c r="G24" s="2">
        <f>G20-G23</f>
        <v/>
      </c>
      <c r="H24" s="2">
        <f>H20-H23</f>
        <v/>
      </c>
      <c r="I24" s="2">
        <f>I20-I23</f>
        <v/>
      </c>
      <c r="J24" s="2">
        <f>J20-J23</f>
        <v/>
      </c>
      <c r="K24" s="2">
        <f>K20-K23</f>
        <v/>
      </c>
      <c r="L24" s="2">
        <f>L20-L23</f>
        <v/>
      </c>
      <c r="M24" s="2">
        <f>M20-M23</f>
        <v/>
      </c>
      <c r="N24" s="2">
        <f>N20-N23</f>
        <v/>
      </c>
      <c r="O24" s="2">
        <f>O20-O23</f>
        <v/>
      </c>
      <c r="P24" s="2">
        <f>P20-P23</f>
        <v/>
      </c>
      <c r="Q24" s="2">
        <f>Q20-Q23</f>
        <v/>
      </c>
      <c r="R24" s="2">
        <f>R20-R23</f>
        <v/>
      </c>
      <c r="S24" s="2">
        <f>SUM(G24:R24)</f>
        <v/>
      </c>
    </row>
    <row r="25">
      <c r="A25" t="inlineStr">
        <is>
          <t>4700134128</t>
        </is>
      </c>
      <c r="B25" t="inlineStr">
        <is>
          <t>Пилот 2026 · BOQ/КСГ</t>
        </is>
      </c>
      <c r="C25" s="2" t="n">
        <v>2026</v>
      </c>
      <c r="D25" t="inlineStr">
        <is>
          <t>USD</t>
        </is>
      </c>
      <c r="E25" s="2" t="n">
        <v>80</v>
      </c>
      <c r="F25" t="inlineStr">
        <is>
          <t>Поступления</t>
        </is>
      </c>
      <c r="G25" s="2" t="n">
        <v>1509602.26</v>
      </c>
      <c r="H25" s="2" t="n">
        <v>757302.5699999999</v>
      </c>
      <c r="I25" s="2" t="n">
        <v>855793.4600000001</v>
      </c>
      <c r="J25" s="2" t="n">
        <v>368843.94</v>
      </c>
      <c r="K25" s="2" t="n">
        <v>1075924.21</v>
      </c>
      <c r="L25" s="2" t="n">
        <v>1576418.99</v>
      </c>
      <c r="M25" s="2" t="n">
        <v>2192909.4</v>
      </c>
      <c r="N25" s="2" t="n">
        <v>1640058.1</v>
      </c>
      <c r="O25" s="2" t="n">
        <v>3646631.200386389</v>
      </c>
      <c r="P25" s="2" t="n">
        <v>6819342.788036771</v>
      </c>
      <c r="Q25" s="2" t="n">
        <v>8021562.419560586</v>
      </c>
      <c r="R25" s="2" t="n">
        <v>7601608.297461676</v>
      </c>
      <c r="S25" s="2">
        <f>SUM(G25:R25)</f>
        <v/>
      </c>
    </row>
    <row r="26">
      <c r="A26" t="inlineStr">
        <is>
          <t>4700134128</t>
        </is>
      </c>
      <c r="B26" t="inlineStr">
        <is>
          <t>Пилот 2026 · BOQ/КСГ</t>
        </is>
      </c>
      <c r="C26" s="2" t="n">
        <v>2026</v>
      </c>
      <c r="D26" t="inlineStr">
        <is>
          <t>USD</t>
        </is>
      </c>
      <c r="E26" s="2" t="n">
        <v>80</v>
      </c>
      <c r="F26" t="inlineStr">
        <is>
          <t>Выплаты</t>
        </is>
      </c>
      <c r="G26" s="2" t="n">
        <v>2261671.129244719</v>
      </c>
      <c r="H26" s="2" t="n">
        <v>2704742.722735935</v>
      </c>
      <c r="I26" s="2" t="n">
        <v>2691236.840510597</v>
      </c>
      <c r="J26" s="2" t="n">
        <v>2645319.925976657</v>
      </c>
      <c r="K26" s="2" t="n">
        <v>2653157.187252169</v>
      </c>
      <c r="L26" s="2" t="n">
        <v>2988746.705063098</v>
      </c>
      <c r="M26" s="2" t="n">
        <v>3539808.095248734</v>
      </c>
      <c r="N26" s="2" t="n">
        <v>5539638.098559788</v>
      </c>
      <c r="O26" s="2" t="n">
        <v>7404236.173431706</v>
      </c>
      <c r="P26" s="2" t="n">
        <v>7612420.340343921</v>
      </c>
      <c r="Q26" s="2" t="n">
        <v>6561148.252541652</v>
      </c>
      <c r="R26" s="2" t="n">
        <v>6387334.121104154</v>
      </c>
      <c r="S26" s="2">
        <f>SUM(G26:R26)</f>
        <v/>
      </c>
    </row>
    <row r="27">
      <c r="A27" t="inlineStr">
        <is>
          <t>4700134128</t>
        </is>
      </c>
      <c r="B27" t="inlineStr">
        <is>
          <t>Пилот 2026 · BOQ/КСГ</t>
        </is>
      </c>
      <c r="C27" s="2" t="n">
        <v>2026</v>
      </c>
      <c r="D27" t="inlineStr">
        <is>
          <t>USD</t>
        </is>
      </c>
      <c r="E27" s="2" t="n">
        <v>80</v>
      </c>
      <c r="F27" t="inlineStr">
        <is>
          <t>НДС к выплате</t>
        </is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>
        <f>SUM(G27:R27)</f>
        <v/>
      </c>
    </row>
    <row r="28">
      <c r="A28" t="inlineStr">
        <is>
          <t>4700134128</t>
        </is>
      </c>
      <c r="B28" t="inlineStr">
        <is>
          <t>Пилот 2026 · BOQ/КСГ</t>
        </is>
      </c>
      <c r="C28" s="2" t="n">
        <v>2026</v>
      </c>
      <c r="D28" t="inlineStr">
        <is>
          <t>USD</t>
        </is>
      </c>
      <c r="E28" s="2" t="n">
        <v>80</v>
      </c>
      <c r="F28" t="inlineStr">
        <is>
          <t>CF за период</t>
        </is>
      </c>
      <c r="G28" s="2">
        <f>G25-G26-G27</f>
        <v/>
      </c>
      <c r="H28" s="2">
        <f>H25-H26-H27</f>
        <v/>
      </c>
      <c r="I28" s="2">
        <f>I25-I26-I27</f>
        <v/>
      </c>
      <c r="J28" s="2">
        <f>J25-J26-J27</f>
        <v/>
      </c>
      <c r="K28" s="2">
        <f>K25-K26-K27</f>
        <v/>
      </c>
      <c r="L28" s="2">
        <f>L25-L26-L27</f>
        <v/>
      </c>
      <c r="M28" s="2">
        <f>M25-M26-M27</f>
        <v/>
      </c>
      <c r="N28" s="2">
        <f>N25-N26-N27</f>
        <v/>
      </c>
      <c r="O28" s="2">
        <f>O25-O26-O27</f>
        <v/>
      </c>
      <c r="P28" s="2">
        <f>P25-P26-P27</f>
        <v/>
      </c>
      <c r="Q28" s="2">
        <f>Q25-Q26-Q27</f>
        <v/>
      </c>
      <c r="R28" s="2">
        <f>R25-R26-R27</f>
        <v/>
      </c>
      <c r="S28" s="2">
        <f>SUM(G28:R28)</f>
        <v/>
      </c>
    </row>
    <row r="29">
      <c r="A29" t="inlineStr">
        <is>
          <t>4700134128</t>
        </is>
      </c>
      <c r="B29" t="inlineStr">
        <is>
          <t>Пилот 2026 · BOQ/КСГ</t>
        </is>
      </c>
      <c r="C29" s="2" t="n">
        <v>2026</v>
      </c>
      <c r="D29" t="inlineStr">
        <is>
          <t>USD</t>
        </is>
      </c>
      <c r="E29" s="2" t="n">
        <v>80</v>
      </c>
      <c r="F29" t="inlineStr">
        <is>
          <t>CF накопительно</t>
        </is>
      </c>
      <c r="G29" s="2">
        <f>G28+0</f>
        <v/>
      </c>
      <c r="H29" s="2">
        <f>G29+H28</f>
        <v/>
      </c>
      <c r="I29" s="2">
        <f>H29+I28</f>
        <v/>
      </c>
      <c r="J29" s="2">
        <f>I29+J28</f>
        <v/>
      </c>
      <c r="K29" s="2">
        <f>J29+K28</f>
        <v/>
      </c>
      <c r="L29" s="2">
        <f>K29+L28</f>
        <v/>
      </c>
      <c r="M29" s="2">
        <f>L29+M28</f>
        <v/>
      </c>
      <c r="N29" s="2">
        <f>M29+N28</f>
        <v/>
      </c>
      <c r="O29" s="2">
        <f>N29+O28</f>
        <v/>
      </c>
      <c r="P29" s="2">
        <f>O29+P28</f>
        <v/>
      </c>
      <c r="Q29" s="2">
        <f>P29+Q28</f>
        <v/>
      </c>
      <c r="R29" s="2">
        <f>Q29+R28</f>
        <v/>
      </c>
      <c r="S29" s="2">
        <f>R29</f>
        <v/>
      </c>
    </row>
    <row r="30">
      <c r="A30" t="inlineStr">
        <is>
          <t>4700134128</t>
        </is>
      </c>
      <c r="B30" t="inlineStr">
        <is>
          <t>Пилот 2026 · BOQ/КСГ</t>
        </is>
      </c>
      <c r="C30" s="2" t="n">
        <v>2026</v>
      </c>
      <c r="D30" t="inlineStr">
        <is>
          <t>USD</t>
        </is>
      </c>
      <c r="E30" s="2" t="n">
        <v>80</v>
      </c>
      <c r="F30" t="inlineStr">
        <is>
          <t>Прямые: Заработная плата</t>
        </is>
      </c>
      <c r="G30" s="2" t="n">
        <v>382981.9641433365</v>
      </c>
      <c r="H30" s="2" t="n">
        <v>499754.8756982445</v>
      </c>
      <c r="I30" s="2" t="n">
        <v>541828.773960998</v>
      </c>
      <c r="J30" s="2" t="n">
        <v>569077.3468212574</v>
      </c>
      <c r="K30" s="2" t="n">
        <v>601933.1346965216</v>
      </c>
      <c r="L30" s="2" t="n">
        <v>652878.9227655781</v>
      </c>
      <c r="M30" s="2" t="n">
        <v>825719.9770204374</v>
      </c>
      <c r="N30" s="2" t="n">
        <v>1324933.393920293</v>
      </c>
      <c r="O30" s="2" t="n">
        <v>1865146.521782476</v>
      </c>
      <c r="P30" s="2" t="n">
        <v>1942419.783316943</v>
      </c>
      <c r="Q30" s="2" t="n">
        <v>1683690.024334467</v>
      </c>
      <c r="R30" s="2" t="n">
        <v>1680962.287127429</v>
      </c>
      <c r="S30" s="2" t="n">
        <v>12571327.00558798</v>
      </c>
    </row>
    <row r="31">
      <c r="A31" t="inlineStr">
        <is>
          <t>4700134128</t>
        </is>
      </c>
      <c r="B31" t="inlineStr">
        <is>
          <t>Пилот 2026 · BOQ/КСГ</t>
        </is>
      </c>
      <c r="C31" s="2" t="n">
        <v>2026</v>
      </c>
      <c r="D31" t="inlineStr">
        <is>
          <t>USD</t>
        </is>
      </c>
      <c r="E31" s="2" t="n">
        <v>80</v>
      </c>
      <c r="F31" t="inlineStr">
        <is>
          <t>Прямые: НДФЛ</t>
        </is>
      </c>
      <c r="G31" s="2" t="n">
        <v>57227.19004440661</v>
      </c>
      <c r="H31" s="2" t="n">
        <v>74676.01590893308</v>
      </c>
      <c r="I31" s="2" t="n">
        <v>80962.92024704569</v>
      </c>
      <c r="J31" s="2" t="n">
        <v>85034.5460767396</v>
      </c>
      <c r="K31" s="2" t="n">
        <v>89944.03162131933</v>
      </c>
      <c r="L31" s="2" t="n">
        <v>97556.62064313237</v>
      </c>
      <c r="M31" s="2" t="n">
        <v>123383.4448421343</v>
      </c>
      <c r="N31" s="2" t="n">
        <v>197978.5531145266</v>
      </c>
      <c r="O31" s="2" t="n">
        <v>278700.0549789906</v>
      </c>
      <c r="P31" s="2" t="n">
        <v>290246.6342887386</v>
      </c>
      <c r="Q31" s="2" t="n">
        <v>251585.8657051502</v>
      </c>
      <c r="R31" s="2" t="n">
        <v>251178.272789156</v>
      </c>
      <c r="S31" s="2" t="n">
        <v>1878474.150260273</v>
      </c>
    </row>
    <row r="32">
      <c r="A32" t="inlineStr">
        <is>
          <t>4700134128</t>
        </is>
      </c>
      <c r="B32" t="inlineStr">
        <is>
          <t>Пилот 2026 · BOQ/КСГ</t>
        </is>
      </c>
      <c r="C32" s="2" t="n">
        <v>2026</v>
      </c>
      <c r="D32" t="inlineStr">
        <is>
          <t>USD</t>
        </is>
      </c>
      <c r="E32" s="2" t="n">
        <v>80</v>
      </c>
      <c r="F32" t="inlineStr">
        <is>
          <t>Прямые: Страховые взносы</t>
        </is>
      </c>
      <c r="G32" s="2" t="n">
        <v>101503.9731840611</v>
      </c>
      <c r="H32" s="2" t="n">
        <v>129944.1342313595</v>
      </c>
      <c r="I32" s="2" t="n">
        <v>140424.1632223239</v>
      </c>
      <c r="J32" s="2" t="n">
        <v>147562.2631756611</v>
      </c>
      <c r="K32" s="2" t="n">
        <v>156183.29745174</v>
      </c>
      <c r="L32" s="2" t="n">
        <v>170545.8679376177</v>
      </c>
      <c r="M32" s="2" t="n">
        <v>222167.5610403704</v>
      </c>
      <c r="N32" s="2" t="n">
        <v>354760.2343053828</v>
      </c>
      <c r="O32" s="2" t="n">
        <v>483508.6590285256</v>
      </c>
      <c r="P32" s="2" t="n">
        <v>501590.2917049517</v>
      </c>
      <c r="Q32" s="2" t="n">
        <v>434778.6084656255</v>
      </c>
      <c r="R32" s="2" t="n">
        <v>434074.2259664748</v>
      </c>
      <c r="S32" s="2" t="n">
        <v>3277043.279714094</v>
      </c>
    </row>
    <row r="33">
      <c r="A33" t="inlineStr">
        <is>
          <t>4700134128</t>
        </is>
      </c>
      <c r="B33" t="inlineStr">
        <is>
          <t>Пилот 2026 · BOQ/КСГ</t>
        </is>
      </c>
      <c r="C33" s="2" t="n">
        <v>2026</v>
      </c>
      <c r="D33" t="inlineStr">
        <is>
          <t>USD</t>
        </is>
      </c>
      <c r="E33" s="2" t="n">
        <v>80</v>
      </c>
      <c r="F33" t="inlineStr">
        <is>
          <t>Прямые: Резерв на отпуска</t>
        </is>
      </c>
      <c r="G33" s="2" t="n">
        <v>49979.48496585098</v>
      </c>
      <c r="H33" s="2" t="n">
        <v>64986.98155057932</v>
      </c>
      <c r="I33" s="2" t="n">
        <v>70415.74875101607</v>
      </c>
      <c r="J33" s="2" t="n">
        <v>73963.9846377482</v>
      </c>
      <c r="K33" s="2" t="n">
        <v>78243.67374064586</v>
      </c>
      <c r="L33" s="2" t="n">
        <v>84971.49926111958</v>
      </c>
      <c r="M33" s="2" t="n">
        <v>108063.6918749738</v>
      </c>
      <c r="N33" s="2" t="n">
        <v>173237.6119688877</v>
      </c>
      <c r="O33" s="2" t="n">
        <v>242404.798540148</v>
      </c>
      <c r="P33" s="2" t="n">
        <v>252267.7321090167</v>
      </c>
      <c r="Q33" s="2" t="n">
        <v>218665.7424216146</v>
      </c>
      <c r="R33" s="2" t="n">
        <v>218311.4832213537</v>
      </c>
      <c r="S33" s="2" t="n">
        <v>1635512.433042954</v>
      </c>
    </row>
    <row r="34">
      <c r="A34" t="inlineStr">
        <is>
          <t>4700134128</t>
        </is>
      </c>
      <c r="B34" t="inlineStr">
        <is>
          <t>Пилот 2026 · BOQ/КСГ</t>
        </is>
      </c>
      <c r="C34" s="2" t="n">
        <v>2026</v>
      </c>
      <c r="D34" t="inlineStr">
        <is>
          <t>USD</t>
        </is>
      </c>
      <c r="E34" s="2" t="n">
        <v>80</v>
      </c>
      <c r="F34" t="inlineStr">
        <is>
          <t>Прямые: Субподряд</t>
        </is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</row>
    <row r="35">
      <c r="A35" t="inlineStr">
        <is>
          <t>4700134128</t>
        </is>
      </c>
      <c r="B35" t="inlineStr">
        <is>
          <t>Пилот 2026 · BOQ/КСГ</t>
        </is>
      </c>
      <c r="C35" s="2" t="n">
        <v>2026</v>
      </c>
      <c r="D35" t="inlineStr">
        <is>
          <t>USD</t>
        </is>
      </c>
      <c r="E35" s="2" t="n">
        <v>80</v>
      </c>
      <c r="F35" t="inlineStr">
        <is>
          <t>Прямые: Строительная техника</t>
        </is>
      </c>
      <c r="G35" s="2" t="n">
        <v>435604.8387096774</v>
      </c>
      <c r="H35" s="2" t="n">
        <v>586741.0714285714</v>
      </c>
      <c r="I35" s="2" t="n">
        <v>553548.3870967742</v>
      </c>
      <c r="J35" s="2" t="n">
        <v>493458.3333333333</v>
      </c>
      <c r="K35" s="2" t="n">
        <v>421975.8064516129</v>
      </c>
      <c r="L35" s="2" t="n">
        <v>445791.6666666667</v>
      </c>
      <c r="M35" s="2" t="n">
        <v>516330.6451612904</v>
      </c>
      <c r="N35" s="2" t="n">
        <v>934468.6410234005</v>
      </c>
      <c r="O35" s="2" t="n">
        <v>1443743.699688845</v>
      </c>
      <c r="P35" s="2" t="n">
        <v>1519292.963404094</v>
      </c>
      <c r="Q35" s="2" t="n">
        <v>1316923.575683966</v>
      </c>
      <c r="R35" s="2" t="n">
        <v>1314790.034839571</v>
      </c>
      <c r="S35" s="2" t="n">
        <v>9982669.663487801</v>
      </c>
    </row>
    <row r="36">
      <c r="A36" t="inlineStr">
        <is>
          <t>4700134128</t>
        </is>
      </c>
      <c r="B36" t="inlineStr">
        <is>
          <t>Пилот 2026 · BOQ/КСГ</t>
        </is>
      </c>
      <c r="C36" s="2" t="n">
        <v>2026</v>
      </c>
      <c r="D36" t="inlineStr">
        <is>
          <t>USD</t>
        </is>
      </c>
      <c r="E36" s="2" t="n">
        <v>80</v>
      </c>
      <c r="F36" t="inlineStr">
        <is>
          <t>Прямые: Строительные леса</t>
        </is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</row>
    <row r="37">
      <c r="A37" t="inlineStr">
        <is>
          <t>4700134128</t>
        </is>
      </c>
      <c r="B37" t="inlineStr">
        <is>
          <t>Пилот 2026 · BOQ/КСГ</t>
        </is>
      </c>
      <c r="C37" s="2" t="n">
        <v>2026</v>
      </c>
      <c r="D37" t="inlineStr">
        <is>
          <t>USD</t>
        </is>
      </c>
      <c r="E37" s="2" t="n">
        <v>80</v>
      </c>
      <c r="F37" t="inlineStr">
        <is>
          <t>Прямые: Лесомонтаж</t>
        </is>
      </c>
      <c r="G37" s="2" t="n">
        <v>77685.48387096774</v>
      </c>
      <c r="H37" s="2" t="n">
        <v>121178.5714285714</v>
      </c>
      <c r="I37" s="2" t="n">
        <v>112439.5161290323</v>
      </c>
      <c r="J37" s="2" t="n">
        <v>135525</v>
      </c>
      <c r="K37" s="2" t="n">
        <v>127536.2903225807</v>
      </c>
      <c r="L37" s="2" t="n">
        <v>152425</v>
      </c>
      <c r="M37" s="2" t="n">
        <v>168108.8709677419</v>
      </c>
      <c r="N37" s="2" t="n">
        <v>259726.343578184</v>
      </c>
      <c r="O37" s="2" t="n">
        <v>273317.491389956</v>
      </c>
      <c r="P37" s="2" t="n">
        <v>236911.6797933184</v>
      </c>
      <c r="Q37" s="2" t="n">
        <v>236527.8604474685</v>
      </c>
      <c r="R37" s="2" t="n">
        <v>179213.4917995711</v>
      </c>
      <c r="S37" s="2" t="n">
        <v>2080595.599727392</v>
      </c>
    </row>
    <row r="38">
      <c r="A38" t="inlineStr">
        <is>
          <t>4700134128</t>
        </is>
      </c>
      <c r="B38" t="inlineStr">
        <is>
          <t>Пилот 2026 · BOQ/КСГ</t>
        </is>
      </c>
      <c r="C38" s="2" t="n">
        <v>2026</v>
      </c>
      <c r="D38" t="inlineStr">
        <is>
          <t>USD</t>
        </is>
      </c>
      <c r="E38" s="2" t="n">
        <v>80</v>
      </c>
      <c r="F38" t="inlineStr">
        <is>
          <t>Прямые: Проектные материалы</t>
        </is>
      </c>
      <c r="G38" s="2" t="n">
        <v>174042.9756818181</v>
      </c>
      <c r="H38" s="2" t="n">
        <v>89861.00534090908</v>
      </c>
      <c r="I38" s="2" t="n">
        <v>74306.33647727272</v>
      </c>
      <c r="J38" s="2" t="n">
        <v>108020.7892045454</v>
      </c>
      <c r="K38" s="2" t="n">
        <v>170271.7659090909</v>
      </c>
      <c r="L38" s="2" t="n">
        <v>279699.6992045454</v>
      </c>
      <c r="M38" s="2" t="n">
        <v>163322.5938636363</v>
      </c>
      <c r="N38" s="2" t="n">
        <v>277800.4695833332</v>
      </c>
      <c r="O38" s="2" t="n">
        <v>465141.7571969696</v>
      </c>
      <c r="P38" s="2" t="n">
        <v>503524.7405681817</v>
      </c>
      <c r="Q38" s="2" t="n">
        <v>282367.0409469697</v>
      </c>
      <c r="R38" s="2" t="n">
        <v>174605.6321590909</v>
      </c>
      <c r="S38" s="2" t="n">
        <v>2762964.806136363</v>
      </c>
    </row>
    <row r="39">
      <c r="A39" t="inlineStr">
        <is>
          <t>4700134128</t>
        </is>
      </c>
      <c r="B39" t="inlineStr">
        <is>
          <t>Пилот 2026 · BOQ/КСГ</t>
        </is>
      </c>
      <c r="C39" s="2" t="n">
        <v>2026</v>
      </c>
      <c r="D39" t="inlineStr">
        <is>
          <t>USD</t>
        </is>
      </c>
      <c r="E39" s="2" t="n">
        <v>80</v>
      </c>
      <c r="F39" t="inlineStr">
        <is>
          <t>Прямые: Расходные материалы</t>
        </is>
      </c>
      <c r="G39" s="2" t="n">
        <v>59169.26123376552</v>
      </c>
      <c r="H39" s="2" t="n">
        <v>76936.20073891163</v>
      </c>
      <c r="I39" s="2" t="n">
        <v>83363.16061813838</v>
      </c>
      <c r="J39" s="2" t="n">
        <v>87563.81407114063</v>
      </c>
      <c r="K39" s="2" t="n">
        <v>92630.41375102269</v>
      </c>
      <c r="L39" s="2" t="n">
        <v>100595.2910607448</v>
      </c>
      <c r="M39" s="2" t="n">
        <v>127933.4674777916</v>
      </c>
      <c r="N39" s="2" t="n">
        <v>205090.979330909</v>
      </c>
      <c r="O39" s="2" t="n">
        <v>286976.0034330139</v>
      </c>
      <c r="P39" s="2" t="n">
        <v>298652.444141965</v>
      </c>
      <c r="Q39" s="2" t="n">
        <v>258872.0240926857</v>
      </c>
      <c r="R39" s="2" t="n">
        <v>258452.6269104414</v>
      </c>
      <c r="S39" s="2" t="n">
        <v>1936235.68686053</v>
      </c>
    </row>
    <row r="40">
      <c r="A40" t="inlineStr">
        <is>
          <t>4700134128</t>
        </is>
      </c>
      <c r="B40" t="inlineStr">
        <is>
          <t>Пилот 2026 · BOQ/КСГ</t>
        </is>
      </c>
      <c r="C40" s="2" t="n">
        <v>2026</v>
      </c>
      <c r="D40" t="inlineStr">
        <is>
          <t>USD</t>
        </is>
      </c>
      <c r="E40" s="2" t="n">
        <v>80</v>
      </c>
      <c r="F40" t="inlineStr">
        <is>
          <t>Прямые: НРК</t>
        </is>
      </c>
      <c r="G40" s="2" t="n">
        <v>129043</v>
      </c>
      <c r="H40" s="2" t="n">
        <v>123180</v>
      </c>
      <c r="I40" s="2" t="n">
        <v>130590.5</v>
      </c>
      <c r="J40" s="2" t="n">
        <v>72535</v>
      </c>
      <c r="K40" s="2" t="n">
        <v>25866.5</v>
      </c>
      <c r="L40" s="2" t="n">
        <v>12875</v>
      </c>
      <c r="M40" s="2" t="n">
        <v>12875</v>
      </c>
      <c r="N40" s="2" t="n">
        <v>4984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511949</v>
      </c>
    </row>
    <row r="41">
      <c r="A41" t="inlineStr">
        <is>
          <t>4700134128</t>
        </is>
      </c>
      <c r="B41" t="inlineStr">
        <is>
          <t>Пилот 2026 · BOQ/КСГ</t>
        </is>
      </c>
      <c r="C41" s="2" t="n">
        <v>2026</v>
      </c>
      <c r="D41" t="inlineStr">
        <is>
          <t>USD</t>
        </is>
      </c>
      <c r="E41" s="2" t="n">
        <v>80</v>
      </c>
      <c r="F41" t="inlineStr">
        <is>
          <t>Прямые: Прочие прямые</t>
        </is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</row>
    <row r="42">
      <c r="A42" t="inlineStr">
        <is>
          <t>4700134128</t>
        </is>
      </c>
      <c r="B42" t="inlineStr">
        <is>
          <t>Пилот 2026 · BOQ/КСГ</t>
        </is>
      </c>
      <c r="C42" s="2" t="n">
        <v>2026</v>
      </c>
      <c r="D42" t="inlineStr">
        <is>
          <t>USD</t>
        </is>
      </c>
      <c r="E42" s="2" t="n">
        <v>80</v>
      </c>
      <c r="F42" t="inlineStr">
        <is>
          <t>Косвенные: Заработная плата</t>
        </is>
      </c>
      <c r="G42" s="2" t="n">
        <v>254148.5788749016</v>
      </c>
      <c r="H42" s="2" t="n">
        <v>306515.3800087108</v>
      </c>
      <c r="I42" s="2" t="n">
        <v>286653.7913060582</v>
      </c>
      <c r="J42" s="2" t="n">
        <v>259094.6646341463</v>
      </c>
      <c r="K42" s="2" t="n">
        <v>269904.9223052714</v>
      </c>
      <c r="L42" s="2" t="n">
        <v>288324.5426829269</v>
      </c>
      <c r="M42" s="2" t="n">
        <v>294656.0287175452</v>
      </c>
      <c r="N42" s="2" t="n">
        <v>387302.2819863718</v>
      </c>
      <c r="O42" s="2" t="n">
        <v>492840.0088403492</v>
      </c>
      <c r="P42" s="2" t="n">
        <v>505734.8529201293</v>
      </c>
      <c r="Q42" s="2" t="n">
        <v>472052.9841168726</v>
      </c>
      <c r="R42" s="2" t="n">
        <v>471670.5988589396</v>
      </c>
      <c r="S42" s="2" t="n">
        <v>4288898.635252222</v>
      </c>
    </row>
    <row r="43">
      <c r="A43" t="inlineStr">
        <is>
          <t>4700134128</t>
        </is>
      </c>
      <c r="B43" t="inlineStr">
        <is>
          <t>Пилот 2026 · BOQ/КСГ</t>
        </is>
      </c>
      <c r="C43" s="2" t="n">
        <v>2026</v>
      </c>
      <c r="D43" t="inlineStr">
        <is>
          <t>USD</t>
        </is>
      </c>
      <c r="E43" s="2" t="n">
        <v>80</v>
      </c>
      <c r="F43" t="inlineStr">
        <is>
          <t>Косвенные: НДФЛ</t>
        </is>
      </c>
      <c r="G43" s="2" t="n">
        <v>37976.224429583</v>
      </c>
      <c r="H43" s="2" t="n">
        <v>45801.14873693379</v>
      </c>
      <c r="I43" s="2" t="n">
        <v>42833.32513768686</v>
      </c>
      <c r="J43" s="2" t="n">
        <v>38715.29471544715</v>
      </c>
      <c r="K43" s="2" t="n">
        <v>40330.6205743509</v>
      </c>
      <c r="L43" s="2" t="n">
        <v>43082.97764227643</v>
      </c>
      <c r="M43" s="2" t="n">
        <v>44029.06176239182</v>
      </c>
      <c r="N43" s="2" t="n">
        <v>57872.7547795728</v>
      </c>
      <c r="O43" s="2" t="n">
        <v>73642.75994166137</v>
      </c>
      <c r="P43" s="2" t="n">
        <v>75569.57572369748</v>
      </c>
      <c r="Q43" s="2" t="n">
        <v>70536.65279907292</v>
      </c>
      <c r="R43" s="2" t="n">
        <v>70479.51477202545</v>
      </c>
      <c r="S43" s="2" t="n">
        <v>640869.9110147</v>
      </c>
    </row>
    <row r="44">
      <c r="A44" t="inlineStr">
        <is>
          <t>4700134128</t>
        </is>
      </c>
      <c r="B44" t="inlineStr">
        <is>
          <t>Пилот 2026 · BOQ/КСГ</t>
        </is>
      </c>
      <c r="C44" s="2" t="n">
        <v>2026</v>
      </c>
      <c r="D44" t="inlineStr">
        <is>
          <t>USD</t>
        </is>
      </c>
      <c r="E44" s="2" t="n">
        <v>80</v>
      </c>
      <c r="F44" t="inlineStr">
        <is>
          <t>Косвенные: Страховые взносы</t>
        </is>
      </c>
      <c r="G44" s="2" t="n">
        <v>76805.01372398254</v>
      </c>
      <c r="H44" s="2" t="n">
        <v>92630.53160635095</v>
      </c>
      <c r="I44" s="2" t="n">
        <v>86628.25687540234</v>
      </c>
      <c r="J44" s="2" t="n">
        <v>78299.74639689576</v>
      </c>
      <c r="K44" s="2" t="n">
        <v>81566.66212180816</v>
      </c>
      <c r="L44" s="2" t="n">
        <v>87133.16657427938</v>
      </c>
      <c r="M44" s="2" t="n">
        <v>89046.57436878621</v>
      </c>
      <c r="N44" s="2" t="n">
        <v>117044.7508106475</v>
      </c>
      <c r="O44" s="2" t="n">
        <v>148938.7971803009</v>
      </c>
      <c r="P44" s="2" t="n">
        <v>152835.6856889855</v>
      </c>
      <c r="Q44" s="2" t="n">
        <v>142656.8509021231</v>
      </c>
      <c r="R44" s="2" t="n">
        <v>142541.2921013877</v>
      </c>
      <c r="S44" s="2" t="n">
        <v>1296127.32835095</v>
      </c>
    </row>
    <row r="45">
      <c r="A45" t="inlineStr">
        <is>
          <t>4700134128</t>
        </is>
      </c>
      <c r="B45" t="inlineStr">
        <is>
          <t>Пилот 2026 · BOQ/КСГ</t>
        </is>
      </c>
      <c r="C45" s="2" t="n">
        <v>2026</v>
      </c>
      <c r="D45" t="inlineStr">
        <is>
          <t>USD</t>
        </is>
      </c>
      <c r="E45" s="2" t="n">
        <v>80</v>
      </c>
      <c r="F45" t="inlineStr">
        <is>
          <t>Косвенные: Резерв на отпуска</t>
        </is>
      </c>
      <c r="G45" s="2" t="n">
        <v>34038.16764250739</v>
      </c>
      <c r="H45" s="2" t="n">
        <v>41051.6633062853</v>
      </c>
      <c r="I45" s="2" t="n">
        <v>38391.59694313563</v>
      </c>
      <c r="J45" s="2" t="n">
        <v>34700.59785161061</v>
      </c>
      <c r="K45" s="2" t="n">
        <v>36148.41772334626</v>
      </c>
      <c r="L45" s="2" t="n">
        <v>38615.36099370227</v>
      </c>
      <c r="M45" s="2" t="n">
        <v>39463.33812592387</v>
      </c>
      <c r="N45" s="2" t="n">
        <v>51871.46849664986</v>
      </c>
      <c r="O45" s="2" t="n">
        <v>66006.15638342754</v>
      </c>
      <c r="P45" s="2" t="n">
        <v>67733.1653104678</v>
      </c>
      <c r="Q45" s="2" t="n">
        <v>63222.14619750038</v>
      </c>
      <c r="R45" s="2" t="n">
        <v>63170.93326697301</v>
      </c>
      <c r="S45" s="2" t="n">
        <v>574413.01224153</v>
      </c>
    </row>
    <row r="46">
      <c r="A46" t="inlineStr">
        <is>
          <t>4700134128</t>
        </is>
      </c>
      <c r="B46" t="inlineStr">
        <is>
          <t>Пилот 2026 · BOQ/КСГ</t>
        </is>
      </c>
      <c r="C46" s="2" t="n">
        <v>2026</v>
      </c>
      <c r="D46" t="inlineStr">
        <is>
          <t>USD</t>
        </is>
      </c>
      <c r="E46" s="2" t="n">
        <v>80</v>
      </c>
      <c r="F46" t="inlineStr">
        <is>
          <t>Косвенные: Питание</t>
        </is>
      </c>
      <c r="G46" s="2" t="n">
        <v>105894.9596774193</v>
      </c>
      <c r="H46" s="2" t="n">
        <v>118408.5267857143</v>
      </c>
      <c r="I46" s="2" t="n">
        <v>112897.6612903226</v>
      </c>
      <c r="J46" s="2" t="n">
        <v>117979.875</v>
      </c>
      <c r="K46" s="2" t="n">
        <v>121465.0806451613</v>
      </c>
      <c r="L46" s="2" t="n">
        <v>149820.9375</v>
      </c>
      <c r="M46" s="2" t="n">
        <v>261029.5249495312</v>
      </c>
      <c r="N46" s="2" t="n">
        <v>373671.8820284663</v>
      </c>
      <c r="O46" s="2" t="n">
        <v>338439.8536817946</v>
      </c>
      <c r="P46" s="2" t="n">
        <v>316601.0829345391</v>
      </c>
      <c r="Q46" s="2" t="n">
        <v>287989.1902487639</v>
      </c>
      <c r="R46" s="2" t="n">
        <v>287572.7049374193</v>
      </c>
      <c r="S46" s="2" t="n">
        <v>2591771.279679132</v>
      </c>
    </row>
    <row r="47">
      <c r="A47" t="inlineStr">
        <is>
          <t>4700134128</t>
        </is>
      </c>
      <c r="B47" t="inlineStr">
        <is>
          <t>Пилот 2026 · BOQ/КСГ</t>
        </is>
      </c>
      <c r="C47" s="2" t="n">
        <v>2026</v>
      </c>
      <c r="D47" t="inlineStr">
        <is>
          <t>USD</t>
        </is>
      </c>
      <c r="E47" s="2" t="n">
        <v>80</v>
      </c>
      <c r="F47" t="inlineStr">
        <is>
          <t>Косвенные: Проживание</t>
        </is>
      </c>
      <c r="G47" s="2" t="n">
        <v>81457.66129032256</v>
      </c>
      <c r="H47" s="2" t="n">
        <v>91083.48214285716</v>
      </c>
      <c r="I47" s="2" t="n">
        <v>86844.35483870967</v>
      </c>
      <c r="J47" s="2" t="n">
        <v>90753.74999999999</v>
      </c>
      <c r="K47" s="2" t="n">
        <v>93434.67741935485</v>
      </c>
      <c r="L47" s="2" t="n">
        <v>115246.875</v>
      </c>
      <c r="M47" s="2" t="n">
        <v>200791.9422688701</v>
      </c>
      <c r="N47" s="2" t="n">
        <v>287439.9092526663</v>
      </c>
      <c r="O47" s="2" t="n">
        <v>260338.3489859958</v>
      </c>
      <c r="P47" s="2" t="n">
        <v>243539.2945650301</v>
      </c>
      <c r="Q47" s="2" t="n">
        <v>221530.146345203</v>
      </c>
      <c r="R47" s="2" t="n">
        <v>221209.7730287841</v>
      </c>
      <c r="S47" s="2" t="n">
        <v>1993670.215137794</v>
      </c>
    </row>
    <row r="48">
      <c r="A48" t="inlineStr">
        <is>
          <t>4700134128</t>
        </is>
      </c>
      <c r="B48" t="inlineStr">
        <is>
          <t>Пилот 2026 · BOQ/КСГ</t>
        </is>
      </c>
      <c r="C48" s="2" t="n">
        <v>2026</v>
      </c>
      <c r="D48" t="inlineStr">
        <is>
          <t>USD</t>
        </is>
      </c>
      <c r="E48" s="2" t="n">
        <v>80</v>
      </c>
      <c r="F48" t="inlineStr">
        <is>
          <t>Косвенные: Аренда автобусов</t>
        </is>
      </c>
      <c r="G48" s="2" t="n">
        <v>71926.22950819673</v>
      </c>
      <c r="H48" s="2" t="n">
        <v>79918.03278688525</v>
      </c>
      <c r="I48" s="2" t="n">
        <v>79918.03278688525</v>
      </c>
      <c r="J48" s="2" t="n">
        <v>87909.83606557378</v>
      </c>
      <c r="K48" s="2" t="n">
        <v>87909.83606557378</v>
      </c>
      <c r="L48" s="2" t="n">
        <v>103893.4426229508</v>
      </c>
      <c r="M48" s="2" t="n">
        <v>143852.4590163935</v>
      </c>
      <c r="N48" s="2" t="n">
        <v>215778.6885245902</v>
      </c>
      <c r="O48" s="2" t="n">
        <v>231762.2950819672</v>
      </c>
      <c r="P48" s="2" t="n">
        <v>231762.2950819672</v>
      </c>
      <c r="Q48" s="2" t="n">
        <v>207786.8852459016</v>
      </c>
      <c r="R48" s="2" t="n">
        <v>207786.8852459016</v>
      </c>
      <c r="S48" s="2" t="n">
        <v>1750204.918032787</v>
      </c>
    </row>
    <row r="49">
      <c r="A49" t="inlineStr">
        <is>
          <t>4700134128</t>
        </is>
      </c>
      <c r="B49" t="inlineStr">
        <is>
          <t>Пилот 2026 · BOQ/КСГ</t>
        </is>
      </c>
      <c r="C49" s="2" t="n">
        <v>2026</v>
      </c>
      <c r="D49" t="inlineStr">
        <is>
          <t>USD</t>
        </is>
      </c>
      <c r="E49" s="2" t="n">
        <v>80</v>
      </c>
      <c r="F49" t="inlineStr">
        <is>
          <t>Косвенные: Аренда автомобиля</t>
        </is>
      </c>
      <c r="G49" s="2" t="n">
        <v>23975.40983606558</v>
      </c>
      <c r="H49" s="2" t="n">
        <v>23975.40983606558</v>
      </c>
      <c r="I49" s="2" t="n">
        <v>23975.40983606558</v>
      </c>
      <c r="J49" s="2" t="n">
        <v>23975.40983606558</v>
      </c>
      <c r="K49" s="2" t="n">
        <v>23975.40983606558</v>
      </c>
      <c r="L49" s="2" t="n">
        <v>23975.40983606558</v>
      </c>
      <c r="M49" s="2" t="n">
        <v>23975.40983606558</v>
      </c>
      <c r="N49" s="2" t="n">
        <v>23975.40983606558</v>
      </c>
      <c r="O49" s="2" t="n">
        <v>23975.40983606558</v>
      </c>
      <c r="P49" s="2" t="n">
        <v>23975.40983606558</v>
      </c>
      <c r="Q49" s="2" t="n">
        <v>23975.40983606558</v>
      </c>
      <c r="R49" s="2" t="n">
        <v>23975.40983606558</v>
      </c>
      <c r="S49" s="2" t="n">
        <v>287704.9180327869</v>
      </c>
    </row>
    <row r="50">
      <c r="A50" t="inlineStr">
        <is>
          <t>4700134128</t>
        </is>
      </c>
      <c r="B50" t="inlineStr">
        <is>
          <t>Пилот 2026 · BOQ/КСГ</t>
        </is>
      </c>
      <c r="C50" s="2" t="n">
        <v>2026</v>
      </c>
      <c r="D50" t="inlineStr">
        <is>
          <t>USD</t>
        </is>
      </c>
      <c r="E50" s="2" t="n">
        <v>80</v>
      </c>
      <c r="F50" t="inlineStr">
        <is>
          <t>Косвенные: Аренда опалубки</t>
        </is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</row>
    <row r="51">
      <c r="A51" t="inlineStr">
        <is>
          <t>4700134128</t>
        </is>
      </c>
      <c r="B51" t="inlineStr">
        <is>
          <t>Пилот 2026 · BOQ/КСГ</t>
        </is>
      </c>
      <c r="C51" s="2" t="n">
        <v>2026</v>
      </c>
      <c r="D51" t="inlineStr">
        <is>
          <t>USD</t>
        </is>
      </c>
      <c r="E51" s="2" t="n">
        <v>80</v>
      </c>
      <c r="F51" t="inlineStr">
        <is>
          <t>Косвенные: СИЗы</t>
        </is>
      </c>
      <c r="G51" s="2" t="n">
        <v>10325.98790322581</v>
      </c>
      <c r="H51" s="2" t="n">
        <v>14224.88839285714</v>
      </c>
      <c r="I51" s="2" t="n">
        <v>15560.02016129032</v>
      </c>
      <c r="J51" s="2" t="n">
        <v>16319.75</v>
      </c>
      <c r="K51" s="2" t="n">
        <v>17231.6129032258</v>
      </c>
      <c r="L51" s="2" t="n">
        <v>18347.9375</v>
      </c>
      <c r="M51" s="2" t="n">
        <v>21269.39516129032</v>
      </c>
      <c r="N51" s="2" t="n">
        <v>34644.51447966402</v>
      </c>
      <c r="O51" s="2" t="n">
        <v>53525.39112924753</v>
      </c>
      <c r="P51" s="2" t="n">
        <v>56326.30647922058</v>
      </c>
      <c r="Q51" s="2" t="n">
        <v>48823.658583586</v>
      </c>
      <c r="R51" s="2" t="n">
        <v>48744.55963533701</v>
      </c>
      <c r="S51" s="2" t="n">
        <v>355344.0223289445</v>
      </c>
    </row>
    <row r="52">
      <c r="A52" t="inlineStr">
        <is>
          <t>4700134128</t>
        </is>
      </c>
      <c r="B52" t="inlineStr">
        <is>
          <t>Пилот 2026 · BOQ/КСГ</t>
        </is>
      </c>
      <c r="C52" s="2" t="n">
        <v>2026</v>
      </c>
      <c r="D52" t="inlineStr">
        <is>
          <t>USD</t>
        </is>
      </c>
      <c r="E52" s="2" t="n">
        <v>80</v>
      </c>
      <c r="F52" t="inlineStr">
        <is>
          <t>Косвенные: Приобретение билетов</t>
        </is>
      </c>
      <c r="G52" s="2" t="n">
        <v>29867.33483537181</v>
      </c>
      <c r="H52" s="2" t="n">
        <v>40093.28146447048</v>
      </c>
      <c r="I52" s="2" t="n">
        <v>42683.53777745989</v>
      </c>
      <c r="J52" s="2" t="n">
        <v>43765.38556294653</v>
      </c>
      <c r="K52" s="2" t="n">
        <v>46122.33865007271</v>
      </c>
      <c r="L52" s="2" t="n">
        <v>49132.83752155703</v>
      </c>
      <c r="M52" s="2" t="n">
        <v>56001.5318408316</v>
      </c>
      <c r="N52" s="2" t="n">
        <v>88983.32977379418</v>
      </c>
      <c r="O52" s="2" t="n">
        <v>134932.9513913138</v>
      </c>
      <c r="P52" s="2" t="n">
        <v>141682.8288207453</v>
      </c>
      <c r="Q52" s="2" t="n">
        <v>123623.0394912867</v>
      </c>
      <c r="R52" s="2" t="n">
        <v>123431.9806472845</v>
      </c>
      <c r="S52" s="2" t="n">
        <v>920320.3777771345</v>
      </c>
    </row>
    <row r="53">
      <c r="A53" t="inlineStr">
        <is>
          <t>4700134128</t>
        </is>
      </c>
      <c r="B53" t="inlineStr">
        <is>
          <t>Пилот 2026 · BOQ/КСГ</t>
        </is>
      </c>
      <c r="C53" s="2" t="n">
        <v>2026</v>
      </c>
      <c r="D53" t="inlineStr">
        <is>
          <t>USD</t>
        </is>
      </c>
      <c r="E53" s="2" t="n">
        <v>80</v>
      </c>
      <c r="F53" t="inlineStr">
        <is>
          <t>Косвенные: Разрешение на работу</t>
        </is>
      </c>
      <c r="G53" s="2" t="n">
        <v>11186.88415667254</v>
      </c>
      <c r="H53" s="2" t="n">
        <v>15410.84301897896</v>
      </c>
      <c r="I53" s="2" t="n">
        <v>16857.28713331783</v>
      </c>
      <c r="J53" s="2" t="n">
        <v>17680.35702025403</v>
      </c>
      <c r="K53" s="2" t="n">
        <v>18668.24357994751</v>
      </c>
      <c r="L53" s="2" t="n">
        <v>19877.63817370409</v>
      </c>
      <c r="M53" s="2" t="n">
        <v>23042.66303445068</v>
      </c>
      <c r="N53" s="2" t="n">
        <v>37532.89019708148</v>
      </c>
      <c r="O53" s="2" t="n">
        <v>57987.89961940804</v>
      </c>
      <c r="P53" s="2" t="n">
        <v>61022.33233872258</v>
      </c>
      <c r="Q53" s="2" t="n">
        <v>52894.17514317259</v>
      </c>
      <c r="R53" s="2" t="n">
        <v>52808.48157280732</v>
      </c>
      <c r="S53" s="2" t="n">
        <v>384969.6949885177</v>
      </c>
    </row>
    <row r="54">
      <c r="A54" t="inlineStr">
        <is>
          <t>4700134128</t>
        </is>
      </c>
      <c r="B54" t="inlineStr">
        <is>
          <t>Пилот 2026 · BOQ/КСГ</t>
        </is>
      </c>
      <c r="C54" s="2" t="n">
        <v>2026</v>
      </c>
      <c r="D54" t="inlineStr">
        <is>
          <t>USD</t>
        </is>
      </c>
      <c r="E54" s="2" t="n">
        <v>80</v>
      </c>
      <c r="F54" t="inlineStr">
        <is>
          <t>Косвенные: Медицинские услуги</t>
        </is>
      </c>
      <c r="G54" s="2" t="n">
        <v>2688.896889400921</v>
      </c>
      <c r="H54" s="2" t="n">
        <v>920.7805299539189</v>
      </c>
      <c r="I54" s="2" t="n">
        <v>523.9516129032246</v>
      </c>
      <c r="J54" s="2" t="n">
        <v>628.8709677419348</v>
      </c>
      <c r="K54" s="2" t="n">
        <v>769.8790322580656</v>
      </c>
      <c r="L54" s="2" t="n">
        <v>2014.798387096775</v>
      </c>
      <c r="M54" s="2" t="n">
        <v>9224.220219568071</v>
      </c>
      <c r="N54" s="2" t="n">
        <v>13021.29424109207</v>
      </c>
      <c r="O54" s="2" t="n">
        <v>1931.665758602108</v>
      </c>
      <c r="P54" s="2" t="n">
        <v>0</v>
      </c>
      <c r="Q54" s="2" t="n">
        <v>0</v>
      </c>
      <c r="R54" s="2" t="n">
        <v>0</v>
      </c>
      <c r="S54" s="2" t="n">
        <v>31724.35763861708</v>
      </c>
    </row>
    <row r="55">
      <c r="A55" t="inlineStr">
        <is>
          <t>4700134128</t>
        </is>
      </c>
      <c r="B55" t="inlineStr">
        <is>
          <t>Пилот 2026 · BOQ/КСГ</t>
        </is>
      </c>
      <c r="C55" s="2" t="n">
        <v>2026</v>
      </c>
      <c r="D55" t="inlineStr">
        <is>
          <t>USD</t>
        </is>
      </c>
      <c r="E55" s="2" t="n">
        <v>80</v>
      </c>
      <c r="F55" t="inlineStr">
        <is>
          <t>Косвенные: ВЗиС для ОР</t>
        </is>
      </c>
      <c r="G55" s="2" t="n">
        <v>3956.317204301076</v>
      </c>
      <c r="H55" s="2" t="n">
        <v>5450.14880952381</v>
      </c>
      <c r="I55" s="2" t="n">
        <v>5961.693548387098</v>
      </c>
      <c r="J55" s="2" t="n">
        <v>6252.777777777778</v>
      </c>
      <c r="K55" s="2" t="n">
        <v>6602.150537634408</v>
      </c>
      <c r="L55" s="2" t="n">
        <v>7029.861111111112</v>
      </c>
      <c r="M55" s="2" t="n">
        <v>8149.193548387098</v>
      </c>
      <c r="N55" s="2" t="n">
        <v>13273.76033703603</v>
      </c>
      <c r="O55" s="2" t="n">
        <v>20507.81269319829</v>
      </c>
      <c r="P55" s="2" t="n">
        <v>21580.96033686613</v>
      </c>
      <c r="Q55" s="2" t="n">
        <v>18706.3825990751</v>
      </c>
      <c r="R55" s="2" t="n">
        <v>18676.07648863487</v>
      </c>
      <c r="S55" s="2" t="n">
        <v>136147.1349919328</v>
      </c>
    </row>
    <row r="56">
      <c r="A56" t="inlineStr">
        <is>
          <t>4700134128</t>
        </is>
      </c>
      <c r="B56" t="inlineStr">
        <is>
          <t>Пилот 2026 · BOQ/КСГ</t>
        </is>
      </c>
      <c r="C56" s="2" t="n">
        <v>2026</v>
      </c>
      <c r="D56" t="inlineStr">
        <is>
          <t>USD</t>
        </is>
      </c>
      <c r="E56" s="2" t="n">
        <v>80</v>
      </c>
      <c r="F56" t="inlineStr">
        <is>
          <t>Косвенные: Аренда офиса</t>
        </is>
      </c>
      <c r="G56" s="2" t="n">
        <v>3750</v>
      </c>
      <c r="H56" s="2" t="n">
        <v>3750</v>
      </c>
      <c r="I56" s="2" t="n">
        <v>3750</v>
      </c>
      <c r="J56" s="2" t="n">
        <v>3750</v>
      </c>
      <c r="K56" s="2" t="n">
        <v>3750</v>
      </c>
      <c r="L56" s="2" t="n">
        <v>3750</v>
      </c>
      <c r="M56" s="2" t="n">
        <v>3750</v>
      </c>
      <c r="N56" s="2" t="n">
        <v>3750</v>
      </c>
      <c r="O56" s="2" t="n">
        <v>3750</v>
      </c>
      <c r="P56" s="2" t="n">
        <v>3750</v>
      </c>
      <c r="Q56" s="2" t="n">
        <v>3750</v>
      </c>
      <c r="R56" s="2" t="n">
        <v>3750</v>
      </c>
      <c r="S56" s="2" t="n">
        <v>45000</v>
      </c>
    </row>
    <row r="57">
      <c r="A57" t="inlineStr">
        <is>
          <t>4700134128</t>
        </is>
      </c>
      <c r="B57" t="inlineStr">
        <is>
          <t>Пилот 2026 · BOQ/КСГ</t>
        </is>
      </c>
      <c r="C57" s="2" t="n">
        <v>2026</v>
      </c>
      <c r="D57" t="inlineStr">
        <is>
          <t>USD</t>
        </is>
      </c>
      <c r="E57" s="2" t="n">
        <v>80</v>
      </c>
      <c r="F57" t="inlineStr">
        <is>
          <t>Косвенные: Аренда склада</t>
        </is>
      </c>
      <c r="G57" s="2" t="n">
        <v>10000</v>
      </c>
      <c r="H57" s="2" t="n">
        <v>10000</v>
      </c>
      <c r="I57" s="2" t="n">
        <v>10000</v>
      </c>
      <c r="J57" s="2" t="n">
        <v>10000</v>
      </c>
      <c r="K57" s="2" t="n">
        <v>10000</v>
      </c>
      <c r="L57" s="2" t="n">
        <v>10000</v>
      </c>
      <c r="M57" s="2" t="n">
        <v>10000</v>
      </c>
      <c r="N57" s="2" t="n">
        <v>10000</v>
      </c>
      <c r="O57" s="2" t="n">
        <v>10000</v>
      </c>
      <c r="P57" s="2" t="n">
        <v>10000</v>
      </c>
      <c r="Q57" s="2" t="n">
        <v>10000</v>
      </c>
      <c r="R57" s="2" t="n">
        <v>10000</v>
      </c>
      <c r="S57" s="2" t="n">
        <v>120000</v>
      </c>
    </row>
    <row r="58">
      <c r="A58" t="inlineStr">
        <is>
          <t>4700134128</t>
        </is>
      </c>
      <c r="B58" t="inlineStr">
        <is>
          <t>Пилот 2026 · BOQ/КСГ</t>
        </is>
      </c>
      <c r="C58" s="2" t="n">
        <v>2026</v>
      </c>
      <c r="D58" t="inlineStr">
        <is>
          <t>USD</t>
        </is>
      </c>
      <c r="E58" s="2" t="n">
        <v>80</v>
      </c>
      <c r="F58" t="inlineStr">
        <is>
          <t>Косвенные: Интернет</t>
        </is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</row>
    <row r="59">
      <c r="A59" t="inlineStr">
        <is>
          <t>4700134128</t>
        </is>
      </c>
      <c r="B59" t="inlineStr">
        <is>
          <t>Пилот 2026 · BOQ/КСГ</t>
        </is>
      </c>
      <c r="C59" s="2" t="n">
        <v>2026</v>
      </c>
      <c r="D59" t="inlineStr">
        <is>
          <t>USD</t>
        </is>
      </c>
      <c r="E59" s="2" t="n">
        <v>80</v>
      </c>
      <c r="F59" t="inlineStr">
        <is>
          <t>Косвенные: Обращение с ТБО и ЖБО</t>
        </is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</row>
    <row r="60">
      <c r="A60" t="inlineStr">
        <is>
          <t>4700134128</t>
        </is>
      </c>
      <c r="B60" t="inlineStr">
        <is>
          <t>Пилот 2026 · BOQ/КСГ</t>
        </is>
      </c>
      <c r="C60" s="2" t="n">
        <v>2026</v>
      </c>
      <c r="D60" t="inlineStr">
        <is>
          <t>USD</t>
        </is>
      </c>
      <c r="E60" s="2" t="n">
        <v>80</v>
      </c>
      <c r="F60" t="inlineStr">
        <is>
          <t>Косвенные: Охрана труда</t>
        </is>
      </c>
      <c r="G60" s="2" t="n">
        <v>3829.819641433365</v>
      </c>
      <c r="H60" s="2" t="n">
        <v>4997.548756982445</v>
      </c>
      <c r="I60" s="2" t="n">
        <v>5418.28773960998</v>
      </c>
      <c r="J60" s="2" t="n">
        <v>5690.773468212574</v>
      </c>
      <c r="K60" s="2" t="n">
        <v>6019.331346965216</v>
      </c>
      <c r="L60" s="2" t="n">
        <v>6528.789227655781</v>
      </c>
      <c r="M60" s="2" t="n">
        <v>8257.199770204374</v>
      </c>
      <c r="N60" s="2" t="n">
        <v>13249.33393920293</v>
      </c>
      <c r="O60" s="2" t="n">
        <v>18651.46521782476</v>
      </c>
      <c r="P60" s="2" t="n">
        <v>19424.19783316943</v>
      </c>
      <c r="Q60" s="2" t="n">
        <v>16836.90024334467</v>
      </c>
      <c r="R60" s="2" t="n">
        <v>16809.62287127429</v>
      </c>
      <c r="S60" s="2" t="n">
        <v>125713.2700558798</v>
      </c>
    </row>
    <row r="61">
      <c r="A61" t="inlineStr">
        <is>
          <t>4700134128</t>
        </is>
      </c>
      <c r="B61" t="inlineStr">
        <is>
          <t>Пилот 2026 · BOQ/КСГ</t>
        </is>
      </c>
      <c r="C61" s="2" t="n">
        <v>2026</v>
      </c>
      <c r="D61" t="inlineStr">
        <is>
          <t>USD</t>
        </is>
      </c>
      <c r="E61" s="2" t="n">
        <v>80</v>
      </c>
      <c r="F61" t="inlineStr">
        <is>
          <t>Косвенные: Страхование от НС</t>
        </is>
      </c>
      <c r="G61" s="2" t="n">
        <v>989.0793010752687</v>
      </c>
      <c r="H61" s="2" t="n">
        <v>1362.537202380952</v>
      </c>
      <c r="I61" s="2" t="n">
        <v>1490.423387096774</v>
      </c>
      <c r="J61" s="2" t="n">
        <v>1563.194444444444</v>
      </c>
      <c r="K61" s="2" t="n">
        <v>1650.537634408602</v>
      </c>
      <c r="L61" s="2" t="n">
        <v>1757.465277777778</v>
      </c>
      <c r="M61" s="2" t="n">
        <v>2037.298387096774</v>
      </c>
      <c r="N61" s="2" t="n">
        <v>3318.440084259006</v>
      </c>
      <c r="O61" s="2" t="n">
        <v>5126.953173299571</v>
      </c>
      <c r="P61" s="2" t="n">
        <v>5395.240084216531</v>
      </c>
      <c r="Q61" s="2" t="n">
        <v>4676.595649768774</v>
      </c>
      <c r="R61" s="2" t="n">
        <v>4669.019122158718</v>
      </c>
      <c r="S61" s="2" t="n">
        <v>34036.78374798319</v>
      </c>
    </row>
    <row r="62">
      <c r="A62" t="inlineStr">
        <is>
          <t>4700134128</t>
        </is>
      </c>
      <c r="B62" t="inlineStr">
        <is>
          <t>Пилот 2026 · BOQ/КСГ</t>
        </is>
      </c>
      <c r="C62" s="2" t="n">
        <v>2026</v>
      </c>
      <c r="D62" t="inlineStr">
        <is>
          <t>USD</t>
        </is>
      </c>
      <c r="E62" s="2" t="n">
        <v>80</v>
      </c>
      <c r="F62" t="inlineStr">
        <is>
          <t>Косвенные: IT-материалы</t>
        </is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</row>
    <row r="63">
      <c r="A63" t="inlineStr">
        <is>
          <t>4700134128</t>
        </is>
      </c>
      <c r="B63" t="inlineStr">
        <is>
          <t>Пилот 2026 · BOQ/КСГ</t>
        </is>
      </c>
      <c r="C63" s="2" t="n">
        <v>2026</v>
      </c>
      <c r="D63" t="inlineStr">
        <is>
          <t>USD</t>
        </is>
      </c>
      <c r="E63" s="2" t="n">
        <v>80</v>
      </c>
      <c r="F63" t="inlineStr">
        <is>
          <t>Косвенные: Приобретение контейнеров</t>
        </is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</v>
      </c>
    </row>
    <row r="64">
      <c r="A64" t="inlineStr">
        <is>
          <t>4700134128</t>
        </is>
      </c>
      <c r="B64" t="inlineStr">
        <is>
          <t>Пилот 2026 · BOQ/КСГ</t>
        </is>
      </c>
      <c r="C64" s="2" t="n">
        <v>2026</v>
      </c>
      <c r="D64" t="inlineStr">
        <is>
          <t>USD</t>
        </is>
      </c>
      <c r="E64" s="2" t="n">
        <v>80</v>
      </c>
      <c r="F64" t="inlineStr">
        <is>
          <t>Косвенные: Приобретение модульного офиса</t>
        </is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</row>
    <row r="65">
      <c r="A65" t="inlineStr">
        <is>
          <t>4700134128</t>
        </is>
      </c>
      <c r="B65" t="inlineStr">
        <is>
          <t>Пилот 2026 · BOQ/КСГ</t>
        </is>
      </c>
      <c r="C65" s="2" t="n">
        <v>2026</v>
      </c>
      <c r="D65" t="inlineStr">
        <is>
          <t>USD</t>
        </is>
      </c>
      <c r="E65" s="2" t="n">
        <v>80</v>
      </c>
      <c r="F65" t="inlineStr">
        <is>
          <t>Косвенные: Транспортные услуги</t>
        </is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</row>
    <row r="66">
      <c r="A66" t="inlineStr">
        <is>
          <t>4700134128</t>
        </is>
      </c>
      <c r="B66" t="inlineStr">
        <is>
          <t>Пилот 2026 · BOQ/КСГ</t>
        </is>
      </c>
      <c r="C66" s="2" t="n">
        <v>2026</v>
      </c>
      <c r="D66" t="inlineStr">
        <is>
          <t>USD</t>
        </is>
      </c>
      <c r="E66" s="2" t="n">
        <v>80</v>
      </c>
      <c r="F66" t="inlineStr">
        <is>
          <t>Косвенные: Прочие косвенные расходы</t>
        </is>
      </c>
      <c r="G66" s="2" t="n">
        <v>115634.0451047333</v>
      </c>
      <c r="H66" s="2" t="n">
        <v>147928.3078817688</v>
      </c>
      <c r="I66" s="2" t="n">
        <v>151777.0493278158</v>
      </c>
      <c r="J66" s="2" t="n">
        <v>144163.1474044739</v>
      </c>
      <c r="K66" s="2" t="n">
        <v>137414.644396184</v>
      </c>
      <c r="L66" s="2" t="n">
        <v>146461.9577274115</v>
      </c>
      <c r="M66" s="2" t="n">
        <v>180854.0319939207</v>
      </c>
      <c r="N66" s="2" t="n">
        <v>299036.2434332491</v>
      </c>
      <c r="O66" s="2" t="n">
        <v>431350.3734018985</v>
      </c>
      <c r="P66" s="2" t="n">
        <v>450581.7404823743</v>
      </c>
      <c r="Q66" s="2" t="n">
        <v>390564.3816610822</v>
      </c>
      <c r="R66" s="2" t="n">
        <v>389931.6303943984</v>
      </c>
      <c r="S66" s="2" t="n">
        <v>2985697.55320931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60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32" customWidth="1" min="2" max="2"/>
    <col width="27" customWidth="1" min="3" max="3"/>
    <col width="17" customWidth="1" min="4" max="20"/>
  </cols>
  <sheetData>
    <row r="1">
      <c r="A1" s="1" t="inlineStr"/>
      <c r="B1" s="1" t="inlineStr"/>
      <c r="C1" s="1" t="inlineStr">
        <is>
          <t>Детальная модель договоров подрядчика</t>
        </is>
      </c>
    </row>
    <row r="2">
      <c r="A2" t="inlineStr"/>
      <c r="B2" t="inlineStr"/>
      <c r="C2" t="inlineStr">
        <is>
          <t>Денежные показатели в миллионах валюты договора; натуральные — в единицах</t>
        </is>
      </c>
    </row>
    <row r="4">
      <c r="A4" t="inlineStr"/>
      <c r="B4" t="inlineStr"/>
      <c r="C4" t="inlineStr">
        <is>
          <t>Договор 4700134128 · Пилот 2026 · BOQ/КСГ · 2026 · USD</t>
        </is>
      </c>
    </row>
    <row r="5">
      <c r="A5" t="inlineStr"/>
      <c r="B5" t="inlineStr"/>
      <c r="C5" t="inlineStr">
        <is>
          <t>Статья</t>
        </is>
      </c>
      <c r="D5" t="inlineStr"/>
      <c r="E5" t="inlineStr"/>
      <c r="F5" t="inlineStr"/>
      <c r="G5" t="inlineStr"/>
      <c r="H5" t="inlineStr"/>
      <c r="I5" t="inlineStr">
        <is>
          <t>ИТОГО</t>
        </is>
      </c>
      <c r="J5" t="inlineStr">
        <is>
          <t>ФАКТ</t>
        </is>
      </c>
      <c r="K5" t="inlineStr">
        <is>
          <t>ПРОГНОЗ</t>
        </is>
      </c>
      <c r="L5" t="inlineStr"/>
      <c r="M5" t="inlineStr">
        <is>
          <t>Янв 2026</t>
        </is>
      </c>
      <c r="N5" t="inlineStr">
        <is>
          <t>Фев 2026</t>
        </is>
      </c>
      <c r="O5" t="inlineStr">
        <is>
          <t>Мар 2026</t>
        </is>
      </c>
      <c r="P5" t="inlineStr">
        <is>
          <t>Апр 2026</t>
        </is>
      </c>
      <c r="Q5" t="inlineStr">
        <is>
          <t>Май 2026</t>
        </is>
      </c>
      <c r="R5" t="inlineStr">
        <is>
          <t>Июн 2026</t>
        </is>
      </c>
      <c r="S5" t="inlineStr">
        <is>
          <t>Июл 2026</t>
        </is>
      </c>
      <c r="T5" t="inlineStr">
        <is>
          <t>Авг 2026</t>
        </is>
      </c>
      <c r="U5" t="inlineStr">
        <is>
          <t>Сен 2026</t>
        </is>
      </c>
      <c r="V5" t="inlineStr">
        <is>
          <t>Окт 2026</t>
        </is>
      </c>
      <c r="W5" t="inlineStr">
        <is>
          <t>Ноя 2026</t>
        </is>
      </c>
      <c r="X5" t="inlineStr">
        <is>
          <t>Дек 2026</t>
        </is>
      </c>
    </row>
    <row r="6">
      <c r="A6" t="inlineStr"/>
      <c r="B6" t="inlineStr"/>
      <c r="C6" t="inlineStr">
        <is>
          <t>Физический объём, ед.</t>
        </is>
      </c>
      <c r="D6" t="inlineStr"/>
      <c r="E6" t="inlineStr"/>
      <c r="F6" t="inlineStr"/>
      <c r="G6" t="inlineStr"/>
      <c r="H6" t="inlineStr"/>
      <c r="I6" s="2">
        <f>SUM(M6:X6)</f>
        <v/>
      </c>
      <c r="J6" t="inlineStr"/>
      <c r="K6" s="2">
        <f>I6</f>
        <v/>
      </c>
      <c r="L6" t="inlineStr"/>
      <c r="M6" s="2" t="n">
        <v>3185.86</v>
      </c>
      <c r="N6" s="2" t="n">
        <v>1088.27</v>
      </c>
      <c r="O6" s="2" t="n">
        <v>3582.75</v>
      </c>
      <c r="P6" s="2" t="n">
        <v>3271.08</v>
      </c>
      <c r="Q6" s="2" t="n">
        <v>9522.839999999998</v>
      </c>
      <c r="R6" s="2" t="n">
        <v>29722.55000000001</v>
      </c>
      <c r="S6" s="2" t="n">
        <v>29936.07999999999</v>
      </c>
      <c r="T6" s="2" t="n">
        <v>77461.05249999999</v>
      </c>
      <c r="U6" s="2" t="n">
        <v>154808.9133333333</v>
      </c>
      <c r="V6" s="2" t="n">
        <v>136962.6966666667</v>
      </c>
      <c r="W6" s="2" t="n">
        <v>125749.2825</v>
      </c>
      <c r="X6" s="2" t="n">
        <v>122014.1975</v>
      </c>
    </row>
    <row r="7">
      <c r="A7" t="inlineStr"/>
      <c r="B7" t="inlineStr"/>
      <c r="C7" t="inlineStr">
        <is>
          <t>Основной персонал, FTE</t>
        </is>
      </c>
      <c r="D7" t="inlineStr"/>
      <c r="E7" t="inlineStr"/>
      <c r="F7" t="inlineStr"/>
      <c r="G7" t="inlineStr"/>
      <c r="H7" t="inlineStr"/>
      <c r="I7" s="2">
        <f>SUM(M7:X7)</f>
        <v/>
      </c>
      <c r="J7" t="inlineStr"/>
      <c r="K7" s="2">
        <f>I7</f>
        <v/>
      </c>
      <c r="L7" t="inlineStr"/>
      <c r="M7" s="2" t="n">
        <v>189.9032258064516</v>
      </c>
      <c r="N7" s="2" t="n">
        <v>261.6071428571428</v>
      </c>
      <c r="O7" s="2" t="n">
        <v>286.1612903225807</v>
      </c>
      <c r="P7" s="2" t="n">
        <v>300.1333333333333</v>
      </c>
      <c r="Q7" s="2" t="n">
        <v>316.9032258064516</v>
      </c>
      <c r="R7" s="2" t="n">
        <v>337.4333333333333</v>
      </c>
      <c r="S7" s="2" t="n">
        <v>391.1612903225807</v>
      </c>
      <c r="T7" s="2" t="n">
        <v>637.1404961777292</v>
      </c>
      <c r="U7" s="2" t="n">
        <v>984.3750092735177</v>
      </c>
      <c r="V7" s="2" t="n">
        <v>1035.886096169574</v>
      </c>
      <c r="W7" s="2" t="n">
        <v>897.9063647556046</v>
      </c>
      <c r="X7" s="2" t="n">
        <v>896.4516714544739</v>
      </c>
    </row>
    <row r="8">
      <c r="A8" t="inlineStr"/>
      <c r="B8" t="inlineStr"/>
      <c r="C8" t="inlineStr">
        <is>
          <t>Косвенный персонал, FTE</t>
        </is>
      </c>
      <c r="D8" t="inlineStr"/>
      <c r="E8" t="inlineStr"/>
      <c r="F8" t="inlineStr"/>
      <c r="G8" t="inlineStr"/>
      <c r="H8" t="inlineStr"/>
      <c r="I8" s="2">
        <f>SUM(M8:X8)</f>
        <v/>
      </c>
      <c r="J8" t="inlineStr"/>
      <c r="K8" s="2">
        <f>I8</f>
        <v/>
      </c>
      <c r="L8" t="inlineStr"/>
      <c r="M8" s="2" t="n">
        <v>132.1612903225806</v>
      </c>
      <c r="N8" s="2" t="n">
        <v>159.3928571428571</v>
      </c>
      <c r="O8" s="2" t="n">
        <v>149.0645161290323</v>
      </c>
      <c r="P8" s="2" t="n">
        <v>134.7333333333333</v>
      </c>
      <c r="Q8" s="2" t="n">
        <v>140.3548387096774</v>
      </c>
      <c r="R8" s="2" t="n">
        <v>149.9333333333333</v>
      </c>
      <c r="S8" s="2" t="n">
        <v>153.2258064516129</v>
      </c>
      <c r="T8" s="2" t="n">
        <v>201.403326978248</v>
      </c>
      <c r="U8" s="2" t="n">
        <v>256.284618152413</v>
      </c>
      <c r="V8" s="2" t="n">
        <v>262.9901415105865</v>
      </c>
      <c r="W8" s="2" t="n">
        <v>245.4750357357657</v>
      </c>
      <c r="X8" s="2" t="n">
        <v>245.2761893392504</v>
      </c>
    </row>
    <row r="9">
      <c r="A9" t="inlineStr"/>
      <c r="B9" t="inlineStr"/>
      <c r="C9" t="inlineStr">
        <is>
          <t>Техника, маш.-ч</t>
        </is>
      </c>
      <c r="D9" t="inlineStr"/>
      <c r="E9" t="inlineStr"/>
      <c r="F9" t="inlineStr"/>
      <c r="G9" t="inlineStr"/>
      <c r="H9" t="inlineStr"/>
      <c r="I9" s="2">
        <f>SUM(M9:X9)</f>
        <v/>
      </c>
      <c r="J9" t="inlineStr"/>
      <c r="K9" s="2">
        <f>I9</f>
        <v/>
      </c>
      <c r="L9" t="inlineStr"/>
      <c r="M9" s="2" t="n">
        <v>26.80645161290322</v>
      </c>
      <c r="N9" s="2" t="n">
        <v>36.10714285714285</v>
      </c>
      <c r="O9" s="2" t="n">
        <v>34.06451612903226</v>
      </c>
      <c r="P9" s="2" t="n">
        <v>30.36666666666667</v>
      </c>
      <c r="Q9" s="2" t="n">
        <v>25.96774193548387</v>
      </c>
      <c r="R9" s="2" t="n">
        <v>27.43333333333333</v>
      </c>
      <c r="S9" s="2" t="n">
        <v>31.7741935483871</v>
      </c>
      <c r="T9" s="2" t="n">
        <v>57.50576252451695</v>
      </c>
      <c r="U9" s="2" t="n">
        <v>88.84576613469817</v>
      </c>
      <c r="V9" s="2" t="n">
        <v>93.4949515940981</v>
      </c>
      <c r="W9" s="2" t="n">
        <v>81.04145081132098</v>
      </c>
      <c r="X9" s="2" t="n">
        <v>80.91015599012744</v>
      </c>
    </row>
    <row r="10">
      <c r="A10" t="inlineStr"/>
      <c r="B10" t="inlineStr"/>
      <c r="C10" t="inlineStr">
        <is>
          <t>Выручка</t>
        </is>
      </c>
      <c r="D10" t="inlineStr"/>
      <c r="E10" t="inlineStr"/>
      <c r="F10" t="inlineStr"/>
      <c r="G10" t="inlineStr"/>
      <c r="H10" t="inlineStr"/>
      <c r="I10" s="2">
        <f>SUM(M10:X10)</f>
        <v/>
      </c>
      <c r="J10" t="inlineStr"/>
      <c r="K10" s="2">
        <f>I10</f>
        <v/>
      </c>
      <c r="L10" t="inlineStr"/>
      <c r="M10" s="2" t="n">
        <v>3.275654170213254</v>
      </c>
      <c r="N10" s="2" t="n">
        <v>2.013326462589337</v>
      </c>
      <c r="O10" s="2" t="n">
        <v>1.594546781151427</v>
      </c>
      <c r="P10" s="2" t="n">
        <v>1.807406417268968</v>
      </c>
      <c r="Q10" s="2" t="n">
        <v>2.587862985967994</v>
      </c>
      <c r="R10" s="2" t="n">
        <v>3.673215333595605</v>
      </c>
      <c r="S10" s="2" t="n">
        <v>3.205604948701429</v>
      </c>
      <c r="T10" s="2" t="n">
        <v>4.923965106438277</v>
      </c>
      <c r="U10" s="2" t="n">
        <v>7.428732284122966</v>
      </c>
      <c r="V10" s="2" t="n">
        <v>8.556529652127374</v>
      </c>
      <c r="W10" s="2" t="n">
        <v>7.940044421648627</v>
      </c>
      <c r="X10" s="2" t="n">
        <v>7.66065243371434</v>
      </c>
    </row>
    <row r="11">
      <c r="A11" t="inlineStr"/>
      <c r="B11" t="inlineStr"/>
      <c r="C11" t="inlineStr">
        <is>
          <t>Прямые расходы</t>
        </is>
      </c>
      <c r="D11" t="inlineStr"/>
      <c r="E11" t="inlineStr"/>
      <c r="F11" t="inlineStr"/>
      <c r="G11" t="inlineStr"/>
      <c r="H11" t="inlineStr"/>
      <c r="I11" s="2">
        <f>SUM(M11:X11)</f>
        <v/>
      </c>
      <c r="J11" t="inlineStr"/>
      <c r="K11" s="2">
        <f>I11</f>
        <v/>
      </c>
      <c r="L11" t="inlineStr"/>
      <c r="M11" s="2" t="n">
        <v>1.467238171833884</v>
      </c>
      <c r="N11" s="2" t="n">
        <v>1.76725885632608</v>
      </c>
      <c r="O11" s="2" t="n">
        <v>1.787879506502601</v>
      </c>
      <c r="P11" s="2" t="n">
        <v>1.772741077320426</v>
      </c>
      <c r="Q11" s="2" t="n">
        <v>1.764584913944534</v>
      </c>
      <c r="R11" s="2" t="n">
        <v>1.997339567539405</v>
      </c>
      <c r="S11" s="2" t="n">
        <v>2.267905252248376</v>
      </c>
      <c r="T11" s="2" t="n">
        <v>3.732980226824917</v>
      </c>
      <c r="U11" s="2" t="n">
        <v>5.338938986038925</v>
      </c>
      <c r="V11" s="2" t="n">
        <v>5.54490626932721</v>
      </c>
      <c r="W11" s="2" t="n">
        <v>4.683410742097946</v>
      </c>
      <c r="X11" s="2" t="n">
        <v>4.511588054813088</v>
      </c>
    </row>
    <row r="12">
      <c r="A12" t="inlineStr"/>
      <c r="B12" t="inlineStr"/>
      <c r="C12" t="inlineStr">
        <is>
          <t>Косвенные расходы</t>
        </is>
      </c>
      <c r="D12" t="inlineStr"/>
      <c r="E12" t="inlineStr"/>
      <c r="F12" t="inlineStr"/>
      <c r="G12" t="inlineStr"/>
      <c r="H12" t="inlineStr"/>
      <c r="I12" s="2">
        <f>SUM(M12:X12)</f>
        <v/>
      </c>
      <c r="J12" t="inlineStr"/>
      <c r="K12" s="2">
        <f>I12</f>
        <v/>
      </c>
      <c r="L12" t="inlineStr"/>
      <c r="M12" s="2" t="n">
        <v>0.8784506100191928</v>
      </c>
      <c r="N12" s="2" t="n">
        <v>1.043522511266719</v>
      </c>
      <c r="O12" s="2" t="n">
        <v>1.012164679702147</v>
      </c>
      <c r="P12" s="2" t="n">
        <v>0.9812434311455905</v>
      </c>
      <c r="Q12" s="2" t="n">
        <v>1.002964364771628</v>
      </c>
      <c r="R12" s="2" t="n">
        <v>1.114993997778515</v>
      </c>
      <c r="S12" s="2" t="n">
        <v>1.419429873001257</v>
      </c>
      <c r="T12" s="2" t="n">
        <v>2.031766952200409</v>
      </c>
      <c r="U12" s="2" t="n">
        <v>2.373708142316355</v>
      </c>
      <c r="V12" s="2" t="n">
        <v>2.387514968436197</v>
      </c>
      <c r="W12" s="2" t="n">
        <v>2.159625399062819</v>
      </c>
      <c r="X12" s="2" t="n">
        <v>2.157228482779391</v>
      </c>
    </row>
    <row r="13">
      <c r="A13" t="inlineStr"/>
      <c r="B13" t="inlineStr"/>
      <c r="C13" t="inlineStr">
        <is>
          <t>Расходы</t>
        </is>
      </c>
      <c r="D13" t="inlineStr"/>
      <c r="E13" t="inlineStr"/>
      <c r="F13" t="inlineStr"/>
      <c r="G13" t="inlineStr"/>
      <c r="H13" t="inlineStr"/>
      <c r="I13" s="2">
        <f>SUM(M13:X13)</f>
        <v/>
      </c>
      <c r="J13" t="inlineStr"/>
      <c r="K13" s="2">
        <f>I13</f>
        <v/>
      </c>
      <c r="L13" t="inlineStr"/>
      <c r="M13" s="2">
        <f>M11+M12</f>
        <v/>
      </c>
      <c r="N13" s="2">
        <f>N11+N12</f>
        <v/>
      </c>
      <c r="O13" s="2">
        <f>O11+O12</f>
        <v/>
      </c>
      <c r="P13" s="2">
        <f>P11+P12</f>
        <v/>
      </c>
      <c r="Q13" s="2">
        <f>Q11+Q12</f>
        <v/>
      </c>
      <c r="R13" s="2">
        <f>R11+R12</f>
        <v/>
      </c>
      <c r="S13" s="2">
        <f>S11+S12</f>
        <v/>
      </c>
      <c r="T13" s="2">
        <f>T11+T12</f>
        <v/>
      </c>
      <c r="U13" s="2">
        <f>U11+U12</f>
        <v/>
      </c>
      <c r="V13" s="2">
        <f>V11+V12</f>
        <v/>
      </c>
      <c r="W13" s="2">
        <f>W11+W12</f>
        <v/>
      </c>
      <c r="X13" s="2">
        <f>X11+X12</f>
        <v/>
      </c>
    </row>
    <row r="14">
      <c r="A14" t="inlineStr"/>
      <c r="B14" t="inlineStr"/>
      <c r="C14" t="inlineStr">
        <is>
          <t>Финансовый результат</t>
        </is>
      </c>
      <c r="D14" t="inlineStr"/>
      <c r="E14" t="inlineStr"/>
      <c r="F14" t="inlineStr"/>
      <c r="G14" t="inlineStr"/>
      <c r="H14" t="inlineStr"/>
      <c r="I14" s="2">
        <f>SUM(M14:X14)</f>
        <v/>
      </c>
      <c r="J14" t="inlineStr"/>
      <c r="K14" s="2">
        <f>I14</f>
        <v/>
      </c>
      <c r="L14" t="inlineStr"/>
      <c r="M14" s="2">
        <f>M10-M13</f>
        <v/>
      </c>
      <c r="N14" s="2">
        <f>N10-N13</f>
        <v/>
      </c>
      <c r="O14" s="2">
        <f>O10-O13</f>
        <v/>
      </c>
      <c r="P14" s="2">
        <f>P10-P13</f>
        <v/>
      </c>
      <c r="Q14" s="2">
        <f>Q10-Q13</f>
        <v/>
      </c>
      <c r="R14" s="2">
        <f>R10-R13</f>
        <v/>
      </c>
      <c r="S14" s="2">
        <f>S10-S13</f>
        <v/>
      </c>
      <c r="T14" s="2">
        <f>T10-T13</f>
        <v/>
      </c>
      <c r="U14" s="2">
        <f>U10-U13</f>
        <v/>
      </c>
      <c r="V14" s="2">
        <f>V10-V13</f>
        <v/>
      </c>
      <c r="W14" s="2">
        <f>W10-W13</f>
        <v/>
      </c>
      <c r="X14" s="2">
        <f>X10-X13</f>
        <v/>
      </c>
    </row>
    <row r="15">
      <c r="A15" t="inlineStr"/>
      <c r="B15" t="inlineStr"/>
      <c r="C15" t="inlineStr">
        <is>
          <t>Подписано КС по первичке</t>
        </is>
      </c>
      <c r="D15" t="inlineStr"/>
      <c r="E15" t="inlineStr"/>
      <c r="F15" t="inlineStr"/>
      <c r="G15" t="inlineStr"/>
      <c r="H15" t="inlineStr"/>
      <c r="I15" s="2">
        <f>SUM(M15:X15)</f>
        <v/>
      </c>
      <c r="J15" s="2">
        <f>SUM(M15,O15,P15,Q15,R15,S15,T15)</f>
        <v/>
      </c>
      <c r="K15" s="2">
        <f>I15-J15</f>
        <v/>
      </c>
      <c r="L15" t="inlineStr"/>
      <c r="M15" s="2" t="n">
        <v>1.42153178</v>
      </c>
      <c r="N15" s="2" t="n">
        <v>0</v>
      </c>
      <c r="O15" s="2" t="n">
        <v>1.63981372258836</v>
      </c>
      <c r="P15" s="2" t="n">
        <v>2.00355348</v>
      </c>
      <c r="Q15" s="2" t="n">
        <v>0.98126675</v>
      </c>
      <c r="R15" s="2" t="n">
        <v>4.50327625</v>
      </c>
      <c r="S15" s="2" t="n">
        <v>1.76452163</v>
      </c>
      <c r="T15" s="2" t="n">
        <v>1.30631004</v>
      </c>
      <c r="U15" s="2" t="n">
        <v>0</v>
      </c>
      <c r="V15" s="2" t="n">
        <v>0</v>
      </c>
      <c r="W15" s="2" t="n">
        <v>0</v>
      </c>
      <c r="X15" s="2" t="n">
        <v>0</v>
      </c>
    </row>
    <row r="16">
      <c r="A16" t="inlineStr"/>
      <c r="B16" t="inlineStr"/>
      <c r="C16" t="inlineStr">
        <is>
          <t>Поступления</t>
        </is>
      </c>
      <c r="D16" t="inlineStr"/>
      <c r="E16" t="inlineStr"/>
      <c r="F16" t="inlineStr"/>
      <c r="G16" t="inlineStr"/>
      <c r="H16" t="inlineStr"/>
      <c r="I16" s="2">
        <f>SUM(M16:X16)</f>
        <v/>
      </c>
      <c r="J16" s="2">
        <f>SUM(M16,N16,O16,P16,Q16,R16,S16,T16)</f>
        <v/>
      </c>
      <c r="K16" s="2">
        <f>I16-J16</f>
        <v/>
      </c>
      <c r="L16" t="inlineStr"/>
      <c r="M16" s="2">
        <f>M17+M18+M19</f>
        <v/>
      </c>
      <c r="N16" s="2">
        <f>N17+N18+N19</f>
        <v/>
      </c>
      <c r="O16" s="2">
        <f>O17+O18+O19</f>
        <v/>
      </c>
      <c r="P16" s="2">
        <f>P17+P18+P19</f>
        <v/>
      </c>
      <c r="Q16" s="2">
        <f>Q17+Q18+Q19</f>
        <v/>
      </c>
      <c r="R16" s="2">
        <f>R17+R18+R19</f>
        <v/>
      </c>
      <c r="S16" s="2">
        <f>S17+S18+S19</f>
        <v/>
      </c>
      <c r="T16" s="2">
        <f>T17+T18+T19</f>
        <v/>
      </c>
      <c r="U16" s="2">
        <f>U17+U18+U19</f>
        <v/>
      </c>
      <c r="V16" s="2">
        <f>V17+V18+V19</f>
        <v/>
      </c>
      <c r="W16" s="2">
        <f>W17+W18+W19</f>
        <v/>
      </c>
      <c r="X16" s="2">
        <f>X17+X18+X19</f>
        <v/>
      </c>
    </row>
    <row r="17">
      <c r="A17" t="inlineStr"/>
      <c r="B17" t="inlineStr"/>
      <c r="C17" t="inlineStr">
        <is>
          <t>Оплата за работы</t>
        </is>
      </c>
      <c r="D17" t="inlineStr"/>
      <c r="E17" t="inlineStr"/>
      <c r="F17" t="inlineStr"/>
      <c r="G17" t="inlineStr"/>
      <c r="H17" t="inlineStr"/>
      <c r="I17" s="2">
        <f>SUM(M17:X17)</f>
        <v/>
      </c>
      <c r="J17" s="2">
        <f>SUM(M17,N17,O17,P17,Q17,R17,S17,T17)</f>
        <v/>
      </c>
      <c r="K17" s="2">
        <f>I17-J17</f>
        <v/>
      </c>
      <c r="L17" t="inlineStr"/>
      <c r="M17" s="2" t="n">
        <v>1.50960226</v>
      </c>
      <c r="N17" s="2" t="n">
        <v>0.7573025699999999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</row>
    <row r="18">
      <c r="A18" t="inlineStr"/>
      <c r="B18" t="inlineStr"/>
      <c r="C18" t="inlineStr">
        <is>
          <t>Авансы</t>
        </is>
      </c>
      <c r="D18" t="inlineStr"/>
      <c r="E18" t="inlineStr"/>
      <c r="F18" t="inlineStr"/>
      <c r="G18" t="inlineStr"/>
      <c r="H18" t="inlineStr"/>
      <c r="I18" s="2">
        <f>SUM(M18:X18)</f>
        <v/>
      </c>
      <c r="J18" s="2">
        <f>SUM(M18,N18,O18,P18,Q18,R18,S18,T18)</f>
        <v/>
      </c>
      <c r="K18" s="2">
        <f>I18-J18</f>
        <v/>
      </c>
      <c r="L18" t="inlineStr"/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</row>
    <row r="19">
      <c r="A19" t="inlineStr"/>
      <c r="B19" t="inlineStr"/>
      <c r="C19" t="inlineStr">
        <is>
          <t>Факторинг</t>
        </is>
      </c>
      <c r="D19" t="inlineStr"/>
      <c r="E19" t="inlineStr"/>
      <c r="F19" t="inlineStr"/>
      <c r="G19" t="inlineStr"/>
      <c r="H19" t="inlineStr"/>
      <c r="I19" s="2">
        <f>SUM(M19:X19)</f>
        <v/>
      </c>
      <c r="J19" s="2">
        <f>SUM(M19,N19,O19,P19,Q19,R19,S19,T19)</f>
        <v/>
      </c>
      <c r="K19" s="2">
        <f>I19-J19</f>
        <v/>
      </c>
      <c r="L19" t="inlineStr"/>
      <c r="M19" s="2" t="n">
        <v>0</v>
      </c>
      <c r="N19" s="2" t="n">
        <v>0</v>
      </c>
      <c r="O19" s="2" t="n">
        <v>0.8557934600000001</v>
      </c>
      <c r="P19" s="2" t="n">
        <v>0.36884394</v>
      </c>
      <c r="Q19" s="2" t="n">
        <v>1.07592421</v>
      </c>
      <c r="R19" s="2" t="n">
        <v>1.57641899</v>
      </c>
      <c r="S19" s="2" t="n">
        <v>2.1929094</v>
      </c>
      <c r="T19" s="2" t="n">
        <v>1.6400581</v>
      </c>
      <c r="U19" s="2" t="n">
        <v>0</v>
      </c>
      <c r="V19" s="2" t="n">
        <v>0</v>
      </c>
      <c r="W19" s="2" t="n">
        <v>0</v>
      </c>
      <c r="X19" s="2" t="n">
        <v>0</v>
      </c>
    </row>
    <row r="20">
      <c r="A20" t="inlineStr"/>
      <c r="B20" t="inlineStr"/>
      <c r="C20" t="inlineStr">
        <is>
          <t>Выплаты по статьям расходов</t>
        </is>
      </c>
      <c r="D20" t="inlineStr"/>
      <c r="E20" t="inlineStr"/>
      <c r="F20" t="inlineStr"/>
      <c r="G20" t="inlineStr"/>
      <c r="H20" t="inlineStr"/>
      <c r="I20" s="2">
        <f>SUM(M20:X20)</f>
        <v/>
      </c>
      <c r="J20" t="inlineStr"/>
      <c r="K20" s="2">
        <f>I20</f>
        <v/>
      </c>
      <c r="L20" t="inlineStr"/>
      <c r="M20" s="2" t="n">
        <v>2.261671129244719</v>
      </c>
      <c r="N20" s="2" t="n">
        <v>2.704742722735935</v>
      </c>
      <c r="O20" s="2" t="n">
        <v>2.691236840510597</v>
      </c>
      <c r="P20" s="2" t="n">
        <v>2.645319925976657</v>
      </c>
      <c r="Q20" s="2" t="n">
        <v>2.65315718725217</v>
      </c>
      <c r="R20" s="2" t="n">
        <v>2.988746705063098</v>
      </c>
      <c r="S20" s="2" t="n">
        <v>3.539808095248734</v>
      </c>
      <c r="T20" s="2" t="n">
        <v>5.539638098559789</v>
      </c>
      <c r="U20" s="2" t="n">
        <v>7.404236173431705</v>
      </c>
      <c r="V20" s="2" t="n">
        <v>7.612420340343921</v>
      </c>
      <c r="W20" s="2" t="n">
        <v>6.561148252541652</v>
      </c>
      <c r="X20" s="2" t="n">
        <v>6.387334121104153</v>
      </c>
    </row>
    <row r="21">
      <c r="A21" t="inlineStr"/>
      <c r="B21" t="inlineStr"/>
      <c r="C21" t="inlineStr">
        <is>
          <t>НДС к выплате</t>
        </is>
      </c>
      <c r="D21" t="inlineStr"/>
      <c r="E21" t="inlineStr"/>
      <c r="F21" t="inlineStr"/>
      <c r="G21" t="inlineStr"/>
      <c r="H21" t="inlineStr"/>
      <c r="I21" s="2">
        <f>SUM(M21:X21)</f>
        <v/>
      </c>
      <c r="J21" t="inlineStr"/>
      <c r="K21" s="2">
        <f>I21</f>
        <v/>
      </c>
      <c r="L21" t="inlineStr"/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</row>
    <row r="22">
      <c r="A22" t="inlineStr"/>
      <c r="B22" t="inlineStr"/>
      <c r="C22" t="inlineStr">
        <is>
          <t>CF за период</t>
        </is>
      </c>
      <c r="D22" t="inlineStr"/>
      <c r="E22" t="inlineStr"/>
      <c r="F22" t="inlineStr"/>
      <c r="G22" t="inlineStr"/>
      <c r="H22" t="inlineStr"/>
      <c r="I22" s="2">
        <f>SUM(M22:X22)</f>
        <v/>
      </c>
      <c r="J22" t="inlineStr"/>
      <c r="K22" s="2">
        <f>I22</f>
        <v/>
      </c>
      <c r="L22" t="inlineStr"/>
      <c r="M22" s="2">
        <f>M16-M20-M21</f>
        <v/>
      </c>
      <c r="N22" s="2">
        <f>N16-N20-N21</f>
        <v/>
      </c>
      <c r="O22" s="2">
        <f>O16-O20-O21</f>
        <v/>
      </c>
      <c r="P22" s="2">
        <f>P16-P20-P21</f>
        <v/>
      </c>
      <c r="Q22" s="2">
        <f>Q16-Q20-Q21</f>
        <v/>
      </c>
      <c r="R22" s="2">
        <f>R16-R20-R21</f>
        <v/>
      </c>
      <c r="S22" s="2">
        <f>S16-S20-S21</f>
        <v/>
      </c>
      <c r="T22" s="2">
        <f>T16-T20-T21</f>
        <v/>
      </c>
      <c r="U22" s="2">
        <f>U16-U20-U21</f>
        <v/>
      </c>
      <c r="V22" s="2">
        <f>V16-V20-V21</f>
        <v/>
      </c>
      <c r="W22" s="2">
        <f>W16-W20-W21</f>
        <v/>
      </c>
      <c r="X22" s="2">
        <f>X16-X20-X21</f>
        <v/>
      </c>
    </row>
    <row r="23">
      <c r="A23" t="inlineStr"/>
      <c r="B23" t="inlineStr"/>
      <c r="C23" t="inlineStr">
        <is>
          <t>CF накопительно</t>
        </is>
      </c>
      <c r="D23" t="inlineStr"/>
      <c r="E23" t="inlineStr"/>
      <c r="F23" t="inlineStr"/>
      <c r="G23" t="inlineStr"/>
      <c r="H23" t="inlineStr"/>
      <c r="I23" s="2">
        <f>X23</f>
        <v/>
      </c>
      <c r="J23" t="inlineStr"/>
      <c r="K23" s="2">
        <f>I23</f>
        <v/>
      </c>
      <c r="L23" t="inlineStr"/>
      <c r="M23" s="2">
        <f>M22+0</f>
        <v/>
      </c>
      <c r="N23" s="2">
        <f>M23+N22</f>
        <v/>
      </c>
      <c r="O23" s="2">
        <f>N23+O22</f>
        <v/>
      </c>
      <c r="P23" s="2">
        <f>O23+P22</f>
        <v/>
      </c>
      <c r="Q23" s="2">
        <f>P23+Q22</f>
        <v/>
      </c>
      <c r="R23" s="2">
        <f>Q23+R22</f>
        <v/>
      </c>
      <c r="S23" s="2">
        <f>R23+S22</f>
        <v/>
      </c>
      <c r="T23" s="2">
        <f>S23+T22</f>
        <v/>
      </c>
      <c r="U23" s="2">
        <f>T23+U22</f>
        <v/>
      </c>
      <c r="V23" s="2">
        <f>U23+V22</f>
        <v/>
      </c>
      <c r="W23" s="2">
        <f>V23+W22</f>
        <v/>
      </c>
      <c r="X23" s="2">
        <f>W23+X22</f>
        <v/>
      </c>
    </row>
    <row r="24">
      <c r="A24" t="inlineStr"/>
      <c r="B24" t="inlineStr"/>
      <c r="C24" t="inlineStr">
        <is>
          <t>Прямые: Заработная плата</t>
        </is>
      </c>
      <c r="D24" t="inlineStr"/>
      <c r="E24" t="inlineStr"/>
      <c r="F24" t="inlineStr"/>
      <c r="G24" t="inlineStr"/>
      <c r="H24" t="inlineStr"/>
      <c r="I24" s="2">
        <f>SUM(M24:X24)</f>
        <v/>
      </c>
      <c r="J24" t="inlineStr"/>
      <c r="K24" s="2">
        <f>I24</f>
        <v/>
      </c>
      <c r="L24" t="inlineStr"/>
      <c r="M24" s="2" t="n">
        <v>0.3829819641433365</v>
      </c>
      <c r="N24" s="2" t="n">
        <v>0.4997548756982445</v>
      </c>
      <c r="O24" s="2" t="n">
        <v>0.541828773960998</v>
      </c>
      <c r="P24" s="2" t="n">
        <v>0.5690773468212573</v>
      </c>
      <c r="Q24" s="2" t="n">
        <v>0.6019331346965215</v>
      </c>
      <c r="R24" s="2" t="n">
        <v>0.6528789227655781</v>
      </c>
      <c r="S24" s="2" t="n">
        <v>0.8257199770204373</v>
      </c>
      <c r="T24" s="2" t="n">
        <v>1.324933393920293</v>
      </c>
      <c r="U24" s="2" t="n">
        <v>1.865146521782475</v>
      </c>
      <c r="V24" s="2" t="n">
        <v>1.942419783316943</v>
      </c>
      <c r="W24" s="2" t="n">
        <v>1.683690024334467</v>
      </c>
      <c r="X24" s="2" t="n">
        <v>1.680962287127429</v>
      </c>
    </row>
    <row r="25">
      <c r="A25" t="inlineStr"/>
      <c r="B25" t="inlineStr"/>
      <c r="C25" t="inlineStr">
        <is>
          <t>Прямые: НДФЛ</t>
        </is>
      </c>
      <c r="D25" t="inlineStr"/>
      <c r="E25" t="inlineStr"/>
      <c r="F25" t="inlineStr"/>
      <c r="G25" t="inlineStr"/>
      <c r="H25" t="inlineStr"/>
      <c r="I25" s="2">
        <f>SUM(M25:X25)</f>
        <v/>
      </c>
      <c r="J25" t="inlineStr"/>
      <c r="K25" s="2">
        <f>I25</f>
        <v/>
      </c>
      <c r="L25" t="inlineStr"/>
      <c r="M25" s="2" t="n">
        <v>0.05722719004440661</v>
      </c>
      <c r="N25" s="2" t="n">
        <v>0.07467601590893308</v>
      </c>
      <c r="O25" s="2" t="n">
        <v>0.0809629202470457</v>
      </c>
      <c r="P25" s="2" t="n">
        <v>0.0850345460767396</v>
      </c>
      <c r="Q25" s="2" t="n">
        <v>0.08994403162131932</v>
      </c>
      <c r="R25" s="2" t="n">
        <v>0.09755662064313236</v>
      </c>
      <c r="S25" s="2" t="n">
        <v>0.1233834448421343</v>
      </c>
      <c r="T25" s="2" t="n">
        <v>0.1979785531145266</v>
      </c>
      <c r="U25" s="2" t="n">
        <v>0.2787000549789906</v>
      </c>
      <c r="V25" s="2" t="n">
        <v>0.2902466342887386</v>
      </c>
      <c r="W25" s="2" t="n">
        <v>0.2515858657051502</v>
      </c>
      <c r="X25" s="2" t="n">
        <v>0.2511782727891561</v>
      </c>
    </row>
    <row r="26">
      <c r="A26" t="inlineStr"/>
      <c r="B26" t="inlineStr"/>
      <c r="C26" t="inlineStr">
        <is>
          <t>Прямые: Страховые взносы</t>
        </is>
      </c>
      <c r="D26" t="inlineStr"/>
      <c r="E26" t="inlineStr"/>
      <c r="F26" t="inlineStr"/>
      <c r="G26" t="inlineStr"/>
      <c r="H26" t="inlineStr"/>
      <c r="I26" s="2">
        <f>SUM(M26:X26)</f>
        <v/>
      </c>
      <c r="J26" t="inlineStr"/>
      <c r="K26" s="2">
        <f>I26</f>
        <v/>
      </c>
      <c r="L26" t="inlineStr"/>
      <c r="M26" s="2" t="n">
        <v>0.1015039731840611</v>
      </c>
      <c r="N26" s="2" t="n">
        <v>0.1299441342313595</v>
      </c>
      <c r="O26" s="2" t="n">
        <v>0.1404241632223239</v>
      </c>
      <c r="P26" s="2" t="n">
        <v>0.1475622631756611</v>
      </c>
      <c r="Q26" s="2" t="n">
        <v>0.15618329745174</v>
      </c>
      <c r="R26" s="2" t="n">
        <v>0.1705458679376177</v>
      </c>
      <c r="S26" s="2" t="n">
        <v>0.2221675610403704</v>
      </c>
      <c r="T26" s="2" t="n">
        <v>0.3547602343053828</v>
      </c>
      <c r="U26" s="2" t="n">
        <v>0.4835086590285256</v>
      </c>
      <c r="V26" s="2" t="n">
        <v>0.5015902917049517</v>
      </c>
      <c r="W26" s="2" t="n">
        <v>0.4347786084656255</v>
      </c>
      <c r="X26" s="2" t="n">
        <v>0.4340742259664748</v>
      </c>
    </row>
    <row r="27">
      <c r="A27" t="inlineStr"/>
      <c r="B27" t="inlineStr"/>
      <c r="C27" t="inlineStr">
        <is>
          <t>Прямые: Резерв на отпуска</t>
        </is>
      </c>
      <c r="D27" t="inlineStr"/>
      <c r="E27" t="inlineStr"/>
      <c r="F27" t="inlineStr"/>
      <c r="G27" t="inlineStr"/>
      <c r="H27" t="inlineStr"/>
      <c r="I27" s="2">
        <f>SUM(M27:X27)</f>
        <v/>
      </c>
      <c r="J27" t="inlineStr"/>
      <c r="K27" s="2">
        <f>I27</f>
        <v/>
      </c>
      <c r="L27" t="inlineStr"/>
      <c r="M27" s="2" t="n">
        <v>0.04997948496585098</v>
      </c>
      <c r="N27" s="2" t="n">
        <v>0.06498698155057932</v>
      </c>
      <c r="O27" s="2" t="n">
        <v>0.07041574875101607</v>
      </c>
      <c r="P27" s="2" t="n">
        <v>0.0739639846377482</v>
      </c>
      <c r="Q27" s="2" t="n">
        <v>0.07824367374064585</v>
      </c>
      <c r="R27" s="2" t="n">
        <v>0.08497149926111958</v>
      </c>
      <c r="S27" s="2" t="n">
        <v>0.1080636918749738</v>
      </c>
      <c r="T27" s="2" t="n">
        <v>0.1732376119688877</v>
      </c>
      <c r="U27" s="2" t="n">
        <v>0.242404798540148</v>
      </c>
      <c r="V27" s="2" t="n">
        <v>0.2522677321090168</v>
      </c>
      <c r="W27" s="2" t="n">
        <v>0.2186657424216146</v>
      </c>
      <c r="X27" s="2" t="n">
        <v>0.2183114832213537</v>
      </c>
    </row>
    <row r="28">
      <c r="A28" t="inlineStr"/>
      <c r="B28" t="inlineStr"/>
      <c r="C28" t="inlineStr">
        <is>
          <t>Прямые: Субподряд</t>
        </is>
      </c>
      <c r="D28" t="inlineStr"/>
      <c r="E28" t="inlineStr"/>
      <c r="F28" t="inlineStr"/>
      <c r="G28" t="inlineStr"/>
      <c r="H28" t="inlineStr"/>
      <c r="I28" s="2">
        <f>SUM(M28:X28)</f>
        <v/>
      </c>
      <c r="J28" t="inlineStr"/>
      <c r="K28" s="2">
        <f>I28</f>
        <v/>
      </c>
      <c r="L28" t="inlineStr"/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</row>
    <row r="29">
      <c r="A29" t="inlineStr"/>
      <c r="B29" t="inlineStr"/>
      <c r="C29" t="inlineStr">
        <is>
          <t>Прямые: Строительная техника</t>
        </is>
      </c>
      <c r="D29" t="inlineStr"/>
      <c r="E29" t="inlineStr"/>
      <c r="F29" t="inlineStr"/>
      <c r="G29" t="inlineStr"/>
      <c r="H29" t="inlineStr"/>
      <c r="I29" s="2">
        <f>SUM(M29:X29)</f>
        <v/>
      </c>
      <c r="J29" t="inlineStr"/>
      <c r="K29" s="2">
        <f>I29</f>
        <v/>
      </c>
      <c r="L29" t="inlineStr"/>
      <c r="M29" s="2" t="n">
        <v>0.4356048387096774</v>
      </c>
      <c r="N29" s="2" t="n">
        <v>0.5867410714285713</v>
      </c>
      <c r="O29" s="2" t="n">
        <v>0.5535483870967742</v>
      </c>
      <c r="P29" s="2" t="n">
        <v>0.4934583333333333</v>
      </c>
      <c r="Q29" s="2" t="n">
        <v>0.4219758064516129</v>
      </c>
      <c r="R29" s="2" t="n">
        <v>0.4457916666666667</v>
      </c>
      <c r="S29" s="2" t="n">
        <v>0.5163306451612903</v>
      </c>
      <c r="T29" s="2" t="n">
        <v>0.9344686410234004</v>
      </c>
      <c r="U29" s="2" t="n">
        <v>1.443743699688845</v>
      </c>
      <c r="V29" s="2" t="n">
        <v>1.519292963404094</v>
      </c>
      <c r="W29" s="2" t="n">
        <v>1.316923575683966</v>
      </c>
      <c r="X29" s="2" t="n">
        <v>1.314790034839571</v>
      </c>
    </row>
    <row r="30">
      <c r="A30" t="inlineStr"/>
      <c r="B30" t="inlineStr"/>
      <c r="C30" t="inlineStr">
        <is>
          <t>Прямые: Строительные леса</t>
        </is>
      </c>
      <c r="D30" t="inlineStr"/>
      <c r="E30" t="inlineStr"/>
      <c r="F30" t="inlineStr"/>
      <c r="G30" t="inlineStr"/>
      <c r="H30" t="inlineStr"/>
      <c r="I30" s="2">
        <f>SUM(M30:X30)</f>
        <v/>
      </c>
      <c r="J30" t="inlineStr"/>
      <c r="K30" s="2">
        <f>I30</f>
        <v/>
      </c>
      <c r="L30" t="inlineStr"/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</row>
    <row r="31">
      <c r="A31" t="inlineStr"/>
      <c r="B31" t="inlineStr"/>
      <c r="C31" t="inlineStr">
        <is>
          <t>Прямые: Лесомонтаж</t>
        </is>
      </c>
      <c r="D31" t="inlineStr"/>
      <c r="E31" t="inlineStr"/>
      <c r="F31" t="inlineStr"/>
      <c r="G31" t="inlineStr"/>
      <c r="H31" t="inlineStr"/>
      <c r="I31" s="2">
        <f>SUM(M31:X31)</f>
        <v/>
      </c>
      <c r="J31" t="inlineStr"/>
      <c r="K31" s="2">
        <f>I31</f>
        <v/>
      </c>
      <c r="L31" t="inlineStr"/>
      <c r="M31" s="2" t="n">
        <v>0.07768548387096774</v>
      </c>
      <c r="N31" s="2" t="n">
        <v>0.1211785714285714</v>
      </c>
      <c r="O31" s="2" t="n">
        <v>0.1124395161290323</v>
      </c>
      <c r="P31" s="2" t="n">
        <v>0.135525</v>
      </c>
      <c r="Q31" s="2" t="n">
        <v>0.1275362903225807</v>
      </c>
      <c r="R31" s="2" t="n">
        <v>0.152425</v>
      </c>
      <c r="S31" s="2" t="n">
        <v>0.1681088709677419</v>
      </c>
      <c r="T31" s="2" t="n">
        <v>0.259726343578184</v>
      </c>
      <c r="U31" s="2" t="n">
        <v>0.273317491389956</v>
      </c>
      <c r="V31" s="2" t="n">
        <v>0.2369116797933183</v>
      </c>
      <c r="W31" s="2" t="n">
        <v>0.2365278604474685</v>
      </c>
      <c r="X31" s="2" t="n">
        <v>0.1792134917995711</v>
      </c>
    </row>
    <row r="32">
      <c r="A32" t="inlineStr"/>
      <c r="B32" t="inlineStr"/>
      <c r="C32" t="inlineStr">
        <is>
          <t>Прямые: Проектные материалы</t>
        </is>
      </c>
      <c r="D32" t="inlineStr"/>
      <c r="E32" t="inlineStr"/>
      <c r="F32" t="inlineStr"/>
      <c r="G32" t="inlineStr"/>
      <c r="H32" t="inlineStr"/>
      <c r="I32" s="2">
        <f>SUM(M32:X32)</f>
        <v/>
      </c>
      <c r="J32" t="inlineStr"/>
      <c r="K32" s="2">
        <f>I32</f>
        <v/>
      </c>
      <c r="L32" t="inlineStr"/>
      <c r="M32" s="2" t="n">
        <v>0.1740429756818181</v>
      </c>
      <c r="N32" s="2" t="n">
        <v>0.08986100534090907</v>
      </c>
      <c r="O32" s="2" t="n">
        <v>0.07430633647727272</v>
      </c>
      <c r="P32" s="2" t="n">
        <v>0.1080207892045454</v>
      </c>
      <c r="Q32" s="2" t="n">
        <v>0.1702717659090909</v>
      </c>
      <c r="R32" s="2" t="n">
        <v>0.2796996992045453</v>
      </c>
      <c r="S32" s="2" t="n">
        <v>0.1633225938636363</v>
      </c>
      <c r="T32" s="2" t="n">
        <v>0.2778004695833332</v>
      </c>
      <c r="U32" s="2" t="n">
        <v>0.4651417571969696</v>
      </c>
      <c r="V32" s="2" t="n">
        <v>0.5035247405681816</v>
      </c>
      <c r="W32" s="2" t="n">
        <v>0.2823670409469697</v>
      </c>
      <c r="X32" s="2" t="n">
        <v>0.1746056321590909</v>
      </c>
    </row>
    <row r="33">
      <c r="A33" t="inlineStr"/>
      <c r="B33" t="inlineStr"/>
      <c r="C33" t="inlineStr">
        <is>
          <t>Прямые: Расходные материалы</t>
        </is>
      </c>
      <c r="D33" t="inlineStr"/>
      <c r="E33" t="inlineStr"/>
      <c r="F33" t="inlineStr"/>
      <c r="G33" t="inlineStr"/>
      <c r="H33" t="inlineStr"/>
      <c r="I33" s="2">
        <f>SUM(M33:X33)</f>
        <v/>
      </c>
      <c r="J33" t="inlineStr"/>
      <c r="K33" s="2">
        <f>I33</f>
        <v/>
      </c>
      <c r="L33" t="inlineStr"/>
      <c r="M33" s="2" t="n">
        <v>0.05916926123376552</v>
      </c>
      <c r="N33" s="2" t="n">
        <v>0.07693620073891164</v>
      </c>
      <c r="O33" s="2" t="n">
        <v>0.08336316061813838</v>
      </c>
      <c r="P33" s="2" t="n">
        <v>0.08756381407114062</v>
      </c>
      <c r="Q33" s="2" t="n">
        <v>0.09263041375102268</v>
      </c>
      <c r="R33" s="2" t="n">
        <v>0.1005952910607448</v>
      </c>
      <c r="S33" s="2" t="n">
        <v>0.1279334674777916</v>
      </c>
      <c r="T33" s="2" t="n">
        <v>0.205090979330909</v>
      </c>
      <c r="U33" s="2" t="n">
        <v>0.2869760034330139</v>
      </c>
      <c r="V33" s="2" t="n">
        <v>0.298652444141965</v>
      </c>
      <c r="W33" s="2" t="n">
        <v>0.2588720240926857</v>
      </c>
      <c r="X33" s="2" t="n">
        <v>0.2584526269104414</v>
      </c>
    </row>
    <row r="34">
      <c r="A34" t="inlineStr"/>
      <c r="B34" t="inlineStr"/>
      <c r="C34" t="inlineStr">
        <is>
          <t>Прямые: НРК</t>
        </is>
      </c>
      <c r="D34" t="inlineStr"/>
      <c r="E34" t="inlineStr"/>
      <c r="F34" t="inlineStr"/>
      <c r="G34" t="inlineStr"/>
      <c r="H34" t="inlineStr"/>
      <c r="I34" s="2">
        <f>SUM(M34:X34)</f>
        <v/>
      </c>
      <c r="J34" t="inlineStr"/>
      <c r="K34" s="2">
        <f>I34</f>
        <v/>
      </c>
      <c r="L34" t="inlineStr"/>
      <c r="M34" s="2" t="n">
        <v>0.129043</v>
      </c>
      <c r="N34" s="2" t="n">
        <v>0.12318</v>
      </c>
      <c r="O34" s="2" t="n">
        <v>0.1305905</v>
      </c>
      <c r="P34" s="2" t="n">
        <v>0.072535</v>
      </c>
      <c r="Q34" s="2" t="n">
        <v>0.0258665</v>
      </c>
      <c r="R34" s="2" t="n">
        <v>0.012875</v>
      </c>
      <c r="S34" s="2" t="n">
        <v>0.012875</v>
      </c>
      <c r="T34" s="2" t="n">
        <v>0.004984</v>
      </c>
      <c r="U34" s="2" t="n">
        <v>0</v>
      </c>
      <c r="V34" s="2" t="n">
        <v>0</v>
      </c>
      <c r="W34" s="2" t="n">
        <v>0</v>
      </c>
      <c r="X34" s="2" t="n">
        <v>0</v>
      </c>
    </row>
    <row r="35">
      <c r="A35" t="inlineStr"/>
      <c r="B35" t="inlineStr"/>
      <c r="C35" t="inlineStr">
        <is>
          <t>Прямые: Прочие прямые</t>
        </is>
      </c>
      <c r="D35" t="inlineStr"/>
      <c r="E35" t="inlineStr"/>
      <c r="F35" t="inlineStr"/>
      <c r="G35" t="inlineStr"/>
      <c r="H35" t="inlineStr"/>
      <c r="I35" s="2">
        <f>SUM(M35:X35)</f>
        <v/>
      </c>
      <c r="J35" t="inlineStr"/>
      <c r="K35" s="2">
        <f>I35</f>
        <v/>
      </c>
      <c r="L35" t="inlineStr"/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</row>
    <row r="36">
      <c r="A36" t="inlineStr"/>
      <c r="B36" t="inlineStr"/>
      <c r="C36" t="inlineStr">
        <is>
          <t>Косвенные: Заработная плата</t>
        </is>
      </c>
      <c r="D36" t="inlineStr"/>
      <c r="E36" t="inlineStr"/>
      <c r="F36" t="inlineStr"/>
      <c r="G36" t="inlineStr"/>
      <c r="H36" t="inlineStr"/>
      <c r="I36" s="2">
        <f>SUM(M36:X36)</f>
        <v/>
      </c>
      <c r="J36" t="inlineStr"/>
      <c r="K36" s="2">
        <f>I36</f>
        <v/>
      </c>
      <c r="L36" t="inlineStr"/>
      <c r="M36" s="2" t="n">
        <v>0.2541485788749016</v>
      </c>
      <c r="N36" s="2" t="n">
        <v>0.3065153800087108</v>
      </c>
      <c r="O36" s="2" t="n">
        <v>0.2866537913060582</v>
      </c>
      <c r="P36" s="2" t="n">
        <v>0.2590946646341463</v>
      </c>
      <c r="Q36" s="2" t="n">
        <v>0.2699049223052714</v>
      </c>
      <c r="R36" s="2" t="n">
        <v>0.2883245426829268</v>
      </c>
      <c r="S36" s="2" t="n">
        <v>0.2946560287175452</v>
      </c>
      <c r="T36" s="2" t="n">
        <v>0.3873022819863718</v>
      </c>
      <c r="U36" s="2" t="n">
        <v>0.4928400088403492</v>
      </c>
      <c r="V36" s="2" t="n">
        <v>0.5057348529201292</v>
      </c>
      <c r="W36" s="2" t="n">
        <v>0.4720529841168726</v>
      </c>
      <c r="X36" s="2" t="n">
        <v>0.4716705988589396</v>
      </c>
    </row>
    <row r="37">
      <c r="A37" t="inlineStr"/>
      <c r="B37" t="inlineStr"/>
      <c r="C37" t="inlineStr">
        <is>
          <t>Косвенные: НДФЛ</t>
        </is>
      </c>
      <c r="D37" t="inlineStr"/>
      <c r="E37" t="inlineStr"/>
      <c r="F37" t="inlineStr"/>
      <c r="G37" t="inlineStr"/>
      <c r="H37" t="inlineStr"/>
      <c r="I37" s="2">
        <f>SUM(M37:X37)</f>
        <v/>
      </c>
      <c r="J37" t="inlineStr"/>
      <c r="K37" s="2">
        <f>I37</f>
        <v/>
      </c>
      <c r="L37" t="inlineStr"/>
      <c r="M37" s="2" t="n">
        <v>0.037976224429583</v>
      </c>
      <c r="N37" s="2" t="n">
        <v>0.04580114873693379</v>
      </c>
      <c r="O37" s="2" t="n">
        <v>0.04283332513768687</v>
      </c>
      <c r="P37" s="2" t="n">
        <v>0.03871529471544716</v>
      </c>
      <c r="Q37" s="2" t="n">
        <v>0.0403306205743509</v>
      </c>
      <c r="R37" s="2" t="n">
        <v>0.04308297764227643</v>
      </c>
      <c r="S37" s="2" t="n">
        <v>0.04402906176239182</v>
      </c>
      <c r="T37" s="2" t="n">
        <v>0.05787275477957279</v>
      </c>
      <c r="U37" s="2" t="n">
        <v>0.07364275994166136</v>
      </c>
      <c r="V37" s="2" t="n">
        <v>0.07556957572369748</v>
      </c>
      <c r="W37" s="2" t="n">
        <v>0.07053665279907292</v>
      </c>
      <c r="X37" s="2" t="n">
        <v>0.07047951477202545</v>
      </c>
    </row>
    <row r="38">
      <c r="A38" t="inlineStr"/>
      <c r="B38" t="inlineStr"/>
      <c r="C38" t="inlineStr">
        <is>
          <t>Косвенные: Страховые взносы</t>
        </is>
      </c>
      <c r="D38" t="inlineStr"/>
      <c r="E38" t="inlineStr"/>
      <c r="F38" t="inlineStr"/>
      <c r="G38" t="inlineStr"/>
      <c r="H38" t="inlineStr"/>
      <c r="I38" s="2">
        <f>SUM(M38:X38)</f>
        <v/>
      </c>
      <c r="J38" t="inlineStr"/>
      <c r="K38" s="2">
        <f>I38</f>
        <v/>
      </c>
      <c r="L38" t="inlineStr"/>
      <c r="M38" s="2" t="n">
        <v>0.07680501372398255</v>
      </c>
      <c r="N38" s="2" t="n">
        <v>0.09263053160635096</v>
      </c>
      <c r="O38" s="2" t="n">
        <v>0.08662825687540233</v>
      </c>
      <c r="P38" s="2" t="n">
        <v>0.07829974639689576</v>
      </c>
      <c r="Q38" s="2" t="n">
        <v>0.08156666212180816</v>
      </c>
      <c r="R38" s="2" t="n">
        <v>0.08713316657427939</v>
      </c>
      <c r="S38" s="2" t="n">
        <v>0.08904657436878621</v>
      </c>
      <c r="T38" s="2" t="n">
        <v>0.1170447508106475</v>
      </c>
      <c r="U38" s="2" t="n">
        <v>0.1489387971803009</v>
      </c>
      <c r="V38" s="2" t="n">
        <v>0.1528356856889855</v>
      </c>
      <c r="W38" s="2" t="n">
        <v>0.1426568509021231</v>
      </c>
      <c r="X38" s="2" t="n">
        <v>0.1425412921013877</v>
      </c>
    </row>
    <row r="39">
      <c r="A39" t="inlineStr"/>
      <c r="B39" t="inlineStr"/>
      <c r="C39" t="inlineStr">
        <is>
          <t>Косвенные: Резерв на отпуска</t>
        </is>
      </c>
      <c r="D39" t="inlineStr"/>
      <c r="E39" t="inlineStr"/>
      <c r="F39" t="inlineStr"/>
      <c r="G39" t="inlineStr"/>
      <c r="H39" t="inlineStr"/>
      <c r="I39" s="2">
        <f>SUM(M39:X39)</f>
        <v/>
      </c>
      <c r="J39" t="inlineStr"/>
      <c r="K39" s="2">
        <f>I39</f>
        <v/>
      </c>
      <c r="L39" t="inlineStr"/>
      <c r="M39" s="2" t="n">
        <v>0.03403816764250739</v>
      </c>
      <c r="N39" s="2" t="n">
        <v>0.0410516633062853</v>
      </c>
      <c r="O39" s="2" t="n">
        <v>0.03839159694313563</v>
      </c>
      <c r="P39" s="2" t="n">
        <v>0.03470059785161061</v>
      </c>
      <c r="Q39" s="2" t="n">
        <v>0.03614841772334626</v>
      </c>
      <c r="R39" s="2" t="n">
        <v>0.03861536099370227</v>
      </c>
      <c r="S39" s="2" t="n">
        <v>0.03946333812592387</v>
      </c>
      <c r="T39" s="2" t="n">
        <v>0.05187146849664986</v>
      </c>
      <c r="U39" s="2" t="n">
        <v>0.06600615638342755</v>
      </c>
      <c r="V39" s="2" t="n">
        <v>0.0677331653104678</v>
      </c>
      <c r="W39" s="2" t="n">
        <v>0.06322214619750038</v>
      </c>
      <c r="X39" s="2" t="n">
        <v>0.06317093326697301</v>
      </c>
    </row>
    <row r="40">
      <c r="A40" t="inlineStr"/>
      <c r="B40" t="inlineStr"/>
      <c r="C40" t="inlineStr">
        <is>
          <t>Косвенные: Питание</t>
        </is>
      </c>
      <c r="D40" t="inlineStr"/>
      <c r="E40" t="inlineStr"/>
      <c r="F40" t="inlineStr"/>
      <c r="G40" t="inlineStr"/>
      <c r="H40" t="inlineStr"/>
      <c r="I40" s="2">
        <f>SUM(M40:X40)</f>
        <v/>
      </c>
      <c r="J40" t="inlineStr"/>
      <c r="K40" s="2">
        <f>I40</f>
        <v/>
      </c>
      <c r="L40" t="inlineStr"/>
      <c r="M40" s="2" t="n">
        <v>0.1058949596774193</v>
      </c>
      <c r="N40" s="2" t="n">
        <v>0.1184085267857143</v>
      </c>
      <c r="O40" s="2" t="n">
        <v>0.1128976612903226</v>
      </c>
      <c r="P40" s="2" t="n">
        <v>0.117979875</v>
      </c>
      <c r="Q40" s="2" t="n">
        <v>0.1214650806451613</v>
      </c>
      <c r="R40" s="2" t="n">
        <v>0.1498209375</v>
      </c>
      <c r="S40" s="2" t="n">
        <v>0.2610295249495311</v>
      </c>
      <c r="T40" s="2" t="n">
        <v>0.3736718820284662</v>
      </c>
      <c r="U40" s="2" t="n">
        <v>0.3384398536817946</v>
      </c>
      <c r="V40" s="2" t="n">
        <v>0.3166010829345391</v>
      </c>
      <c r="W40" s="2" t="n">
        <v>0.2879891902487639</v>
      </c>
      <c r="X40" s="2" t="n">
        <v>0.2875727049374193</v>
      </c>
    </row>
    <row r="41">
      <c r="A41" t="inlineStr"/>
      <c r="B41" t="inlineStr"/>
      <c r="C41" t="inlineStr">
        <is>
          <t>Косвенные: Проживание</t>
        </is>
      </c>
      <c r="D41" t="inlineStr"/>
      <c r="E41" t="inlineStr"/>
      <c r="F41" t="inlineStr"/>
      <c r="G41" t="inlineStr"/>
      <c r="H41" t="inlineStr"/>
      <c r="I41" s="2">
        <f>SUM(M41:X41)</f>
        <v/>
      </c>
      <c r="J41" t="inlineStr"/>
      <c r="K41" s="2">
        <f>I41</f>
        <v/>
      </c>
      <c r="L41" t="inlineStr"/>
      <c r="M41" s="2" t="n">
        <v>0.08145766129032256</v>
      </c>
      <c r="N41" s="2" t="n">
        <v>0.09108348214285716</v>
      </c>
      <c r="O41" s="2" t="n">
        <v>0.08684435483870967</v>
      </c>
      <c r="P41" s="2" t="n">
        <v>0.09075374999999998</v>
      </c>
      <c r="Q41" s="2" t="n">
        <v>0.09343467741935485</v>
      </c>
      <c r="R41" s="2" t="n">
        <v>0.115246875</v>
      </c>
      <c r="S41" s="2" t="n">
        <v>0.2007919422688701</v>
      </c>
      <c r="T41" s="2" t="n">
        <v>0.2874399092526663</v>
      </c>
      <c r="U41" s="2" t="n">
        <v>0.2603383489859958</v>
      </c>
      <c r="V41" s="2" t="n">
        <v>0.2435392945650301</v>
      </c>
      <c r="W41" s="2" t="n">
        <v>0.221530146345203</v>
      </c>
      <c r="X41" s="2" t="n">
        <v>0.2212097730287841</v>
      </c>
    </row>
    <row r="42">
      <c r="A42" t="inlineStr"/>
      <c r="B42" t="inlineStr"/>
      <c r="C42" t="inlineStr">
        <is>
          <t>Косвенные: Аренда автобусов</t>
        </is>
      </c>
      <c r="D42" t="inlineStr"/>
      <c r="E42" t="inlineStr"/>
      <c r="F42" t="inlineStr"/>
      <c r="G42" t="inlineStr"/>
      <c r="H42" t="inlineStr"/>
      <c r="I42" s="2">
        <f>SUM(M42:X42)</f>
        <v/>
      </c>
      <c r="J42" t="inlineStr"/>
      <c r="K42" s="2">
        <f>I42</f>
        <v/>
      </c>
      <c r="L42" t="inlineStr"/>
      <c r="M42" s="2" t="n">
        <v>0.07192622950819673</v>
      </c>
      <c r="N42" s="2" t="n">
        <v>0.07991803278688525</v>
      </c>
      <c r="O42" s="2" t="n">
        <v>0.07991803278688525</v>
      </c>
      <c r="P42" s="2" t="n">
        <v>0.08790983606557377</v>
      </c>
      <c r="Q42" s="2" t="n">
        <v>0.08790983606557377</v>
      </c>
      <c r="R42" s="2" t="n">
        <v>0.1038934426229508</v>
      </c>
      <c r="S42" s="2" t="n">
        <v>0.1438524590163935</v>
      </c>
      <c r="T42" s="2" t="n">
        <v>0.2157786885245902</v>
      </c>
      <c r="U42" s="2" t="n">
        <v>0.2317622950819672</v>
      </c>
      <c r="V42" s="2" t="n">
        <v>0.2317622950819672</v>
      </c>
      <c r="W42" s="2" t="n">
        <v>0.2077868852459016</v>
      </c>
      <c r="X42" s="2" t="n">
        <v>0.2077868852459016</v>
      </c>
    </row>
    <row r="43">
      <c r="A43" t="inlineStr"/>
      <c r="B43" t="inlineStr"/>
      <c r="C43" t="inlineStr">
        <is>
          <t>Косвенные: Аренда автомобиля</t>
        </is>
      </c>
      <c r="D43" t="inlineStr"/>
      <c r="E43" t="inlineStr"/>
      <c r="F43" t="inlineStr"/>
      <c r="G43" t="inlineStr"/>
      <c r="H43" t="inlineStr"/>
      <c r="I43" s="2">
        <f>SUM(M43:X43)</f>
        <v/>
      </c>
      <c r="J43" t="inlineStr"/>
      <c r="K43" s="2">
        <f>I43</f>
        <v/>
      </c>
      <c r="L43" t="inlineStr"/>
      <c r="M43" s="2" t="n">
        <v>0.02397540983606558</v>
      </c>
      <c r="N43" s="2" t="n">
        <v>0.02397540983606558</v>
      </c>
      <c r="O43" s="2" t="n">
        <v>0.02397540983606558</v>
      </c>
      <c r="P43" s="2" t="n">
        <v>0.02397540983606558</v>
      </c>
      <c r="Q43" s="2" t="n">
        <v>0.02397540983606558</v>
      </c>
      <c r="R43" s="2" t="n">
        <v>0.02397540983606558</v>
      </c>
      <c r="S43" s="2" t="n">
        <v>0.02397540983606558</v>
      </c>
      <c r="T43" s="2" t="n">
        <v>0.02397540983606558</v>
      </c>
      <c r="U43" s="2" t="n">
        <v>0.02397540983606558</v>
      </c>
      <c r="V43" s="2" t="n">
        <v>0.02397540983606558</v>
      </c>
      <c r="W43" s="2" t="n">
        <v>0.02397540983606558</v>
      </c>
      <c r="X43" s="2" t="n">
        <v>0.02397540983606558</v>
      </c>
    </row>
    <row r="44">
      <c r="A44" t="inlineStr"/>
      <c r="B44" t="inlineStr"/>
      <c r="C44" t="inlineStr">
        <is>
          <t>Косвенные: Аренда опалубки</t>
        </is>
      </c>
      <c r="D44" t="inlineStr"/>
      <c r="E44" t="inlineStr"/>
      <c r="F44" t="inlineStr"/>
      <c r="G44" t="inlineStr"/>
      <c r="H44" t="inlineStr"/>
      <c r="I44" s="2">
        <f>SUM(M44:X44)</f>
        <v/>
      </c>
      <c r="J44" t="inlineStr"/>
      <c r="K44" s="2">
        <f>I44</f>
        <v/>
      </c>
      <c r="L44" t="inlineStr"/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</row>
    <row r="45">
      <c r="A45" t="inlineStr"/>
      <c r="B45" t="inlineStr"/>
      <c r="C45" t="inlineStr">
        <is>
          <t>Косвенные: СИЗы</t>
        </is>
      </c>
      <c r="D45" t="inlineStr"/>
      <c r="E45" t="inlineStr"/>
      <c r="F45" t="inlineStr"/>
      <c r="G45" t="inlineStr"/>
      <c r="H45" t="inlineStr"/>
      <c r="I45" s="2">
        <f>SUM(M45:X45)</f>
        <v/>
      </c>
      <c r="J45" t="inlineStr"/>
      <c r="K45" s="2">
        <f>I45</f>
        <v/>
      </c>
      <c r="L45" t="inlineStr"/>
      <c r="M45" s="2" t="n">
        <v>0.01032598790322581</v>
      </c>
      <c r="N45" s="2" t="n">
        <v>0.01422488839285714</v>
      </c>
      <c r="O45" s="2" t="n">
        <v>0.01556002016129032</v>
      </c>
      <c r="P45" s="2" t="n">
        <v>0.01631975</v>
      </c>
      <c r="Q45" s="2" t="n">
        <v>0.0172316129032258</v>
      </c>
      <c r="R45" s="2" t="n">
        <v>0.0183479375</v>
      </c>
      <c r="S45" s="2" t="n">
        <v>0.02126939516129032</v>
      </c>
      <c r="T45" s="2" t="n">
        <v>0.03464451447966403</v>
      </c>
      <c r="U45" s="2" t="n">
        <v>0.05352539112924753</v>
      </c>
      <c r="V45" s="2" t="n">
        <v>0.05632630647922058</v>
      </c>
      <c r="W45" s="2" t="n">
        <v>0.048823658583586</v>
      </c>
      <c r="X45" s="2" t="n">
        <v>0.04874455963533701</v>
      </c>
    </row>
    <row r="46">
      <c r="A46" t="inlineStr"/>
      <c r="B46" t="inlineStr"/>
      <c r="C46" t="inlineStr">
        <is>
          <t>Косвенные: Приобретение билетов</t>
        </is>
      </c>
      <c r="D46" t="inlineStr"/>
      <c r="E46" t="inlineStr"/>
      <c r="F46" t="inlineStr"/>
      <c r="G46" t="inlineStr"/>
      <c r="H46" t="inlineStr"/>
      <c r="I46" s="2">
        <f>SUM(M46:X46)</f>
        <v/>
      </c>
      <c r="J46" t="inlineStr"/>
      <c r="K46" s="2">
        <f>I46</f>
        <v/>
      </c>
      <c r="L46" t="inlineStr"/>
      <c r="M46" s="2" t="n">
        <v>0.02986733483537181</v>
      </c>
      <c r="N46" s="2" t="n">
        <v>0.04009328146447048</v>
      </c>
      <c r="O46" s="2" t="n">
        <v>0.04268353777745989</v>
      </c>
      <c r="P46" s="2" t="n">
        <v>0.04376538556294653</v>
      </c>
      <c r="Q46" s="2" t="n">
        <v>0.04612233865007272</v>
      </c>
      <c r="R46" s="2" t="n">
        <v>0.04913283752155703</v>
      </c>
      <c r="S46" s="2" t="n">
        <v>0.0560015318408316</v>
      </c>
      <c r="T46" s="2" t="n">
        <v>0.08898332977379418</v>
      </c>
      <c r="U46" s="2" t="n">
        <v>0.1349329513913138</v>
      </c>
      <c r="V46" s="2" t="n">
        <v>0.1416828288207453</v>
      </c>
      <c r="W46" s="2" t="n">
        <v>0.1236230394912867</v>
      </c>
      <c r="X46" s="2" t="n">
        <v>0.1234319806472844</v>
      </c>
    </row>
    <row r="47">
      <c r="A47" t="inlineStr"/>
      <c r="B47" t="inlineStr"/>
      <c r="C47" t="inlineStr">
        <is>
          <t>Косвенные: Разрешение на работу</t>
        </is>
      </c>
      <c r="D47" t="inlineStr"/>
      <c r="E47" t="inlineStr"/>
      <c r="F47" t="inlineStr"/>
      <c r="G47" t="inlineStr"/>
      <c r="H47" t="inlineStr"/>
      <c r="I47" s="2">
        <f>SUM(M47:X47)</f>
        <v/>
      </c>
      <c r="J47" t="inlineStr"/>
      <c r="K47" s="2">
        <f>I47</f>
        <v/>
      </c>
      <c r="L47" t="inlineStr"/>
      <c r="M47" s="2" t="n">
        <v>0.01118688415667254</v>
      </c>
      <c r="N47" s="2" t="n">
        <v>0.01541084301897896</v>
      </c>
      <c r="O47" s="2" t="n">
        <v>0.01685728713331783</v>
      </c>
      <c r="P47" s="2" t="n">
        <v>0.01768035702025403</v>
      </c>
      <c r="Q47" s="2" t="n">
        <v>0.01866824357994751</v>
      </c>
      <c r="R47" s="2" t="n">
        <v>0.01987763817370409</v>
      </c>
      <c r="S47" s="2" t="n">
        <v>0.02304266303445068</v>
      </c>
      <c r="T47" s="2" t="n">
        <v>0.03753289019708148</v>
      </c>
      <c r="U47" s="2" t="n">
        <v>0.05798789961940804</v>
      </c>
      <c r="V47" s="2" t="n">
        <v>0.06102233233872258</v>
      </c>
      <c r="W47" s="2" t="n">
        <v>0.05289417514317259</v>
      </c>
      <c r="X47" s="2" t="n">
        <v>0.05280848157280731</v>
      </c>
    </row>
    <row r="48">
      <c r="A48" t="inlineStr"/>
      <c r="B48" t="inlineStr"/>
      <c r="C48" t="inlineStr">
        <is>
          <t>Косвенные: Медицинские услуги</t>
        </is>
      </c>
      <c r="D48" t="inlineStr"/>
      <c r="E48" t="inlineStr"/>
      <c r="F48" t="inlineStr"/>
      <c r="G48" t="inlineStr"/>
      <c r="H48" t="inlineStr"/>
      <c r="I48" s="2">
        <f>SUM(M48:X48)</f>
        <v/>
      </c>
      <c r="J48" t="inlineStr"/>
      <c r="K48" s="2">
        <f>I48</f>
        <v/>
      </c>
      <c r="L48" t="inlineStr"/>
      <c r="M48" s="2" t="n">
        <v>0.002688896889400921</v>
      </c>
      <c r="N48" s="2" t="n">
        <v>0.0009207805299539188</v>
      </c>
      <c r="O48" s="2" t="n">
        <v>0.0005239516129032246</v>
      </c>
      <c r="P48" s="2" t="n">
        <v>0.0006288709677419348</v>
      </c>
      <c r="Q48" s="2" t="n">
        <v>0.0007698790322580657</v>
      </c>
      <c r="R48" s="2" t="n">
        <v>0.002014798387096775</v>
      </c>
      <c r="S48" s="2" t="n">
        <v>0.00922422021956807</v>
      </c>
      <c r="T48" s="2" t="n">
        <v>0.01302129424109207</v>
      </c>
      <c r="U48" s="2" t="n">
        <v>0.001931665758602108</v>
      </c>
      <c r="V48" s="2" t="n">
        <v>0</v>
      </c>
      <c r="W48" s="2" t="n">
        <v>0</v>
      </c>
      <c r="X48" s="2" t="n">
        <v>0</v>
      </c>
    </row>
    <row r="49">
      <c r="A49" t="inlineStr"/>
      <c r="B49" t="inlineStr"/>
      <c r="C49" t="inlineStr">
        <is>
          <t>Косвенные: ВЗиС для ОР</t>
        </is>
      </c>
      <c r="D49" t="inlineStr"/>
      <c r="E49" t="inlineStr"/>
      <c r="F49" t="inlineStr"/>
      <c r="G49" t="inlineStr"/>
      <c r="H49" t="inlineStr"/>
      <c r="I49" s="2">
        <f>SUM(M49:X49)</f>
        <v/>
      </c>
      <c r="J49" t="inlineStr"/>
      <c r="K49" s="2">
        <f>I49</f>
        <v/>
      </c>
      <c r="L49" t="inlineStr"/>
      <c r="M49" s="2" t="n">
        <v>0.003956317204301076</v>
      </c>
      <c r="N49" s="2" t="n">
        <v>0.00545014880952381</v>
      </c>
      <c r="O49" s="2" t="n">
        <v>0.005961693548387098</v>
      </c>
      <c r="P49" s="2" t="n">
        <v>0.006252777777777778</v>
      </c>
      <c r="Q49" s="2" t="n">
        <v>0.006602150537634409</v>
      </c>
      <c r="R49" s="2" t="n">
        <v>0.007029861111111113</v>
      </c>
      <c r="S49" s="2" t="n">
        <v>0.008149193548387099</v>
      </c>
      <c r="T49" s="2" t="n">
        <v>0.01327376033703603</v>
      </c>
      <c r="U49" s="2" t="n">
        <v>0.02050781269319829</v>
      </c>
      <c r="V49" s="2" t="n">
        <v>0.02158096033686612</v>
      </c>
      <c r="W49" s="2" t="n">
        <v>0.0187063825990751</v>
      </c>
      <c r="X49" s="2" t="n">
        <v>0.01867607648863487</v>
      </c>
    </row>
    <row r="50">
      <c r="A50" t="inlineStr"/>
      <c r="B50" t="inlineStr"/>
      <c r="C50" t="inlineStr">
        <is>
          <t>Косвенные: Аренда офиса</t>
        </is>
      </c>
      <c r="D50" t="inlineStr"/>
      <c r="E50" t="inlineStr"/>
      <c r="F50" t="inlineStr"/>
      <c r="G50" t="inlineStr"/>
      <c r="H50" t="inlineStr"/>
      <c r="I50" s="2">
        <f>SUM(M50:X50)</f>
        <v/>
      </c>
      <c r="J50" t="inlineStr"/>
      <c r="K50" s="2">
        <f>I50</f>
        <v/>
      </c>
      <c r="L50" t="inlineStr"/>
      <c r="M50" s="2" t="n">
        <v>0.00375</v>
      </c>
      <c r="N50" s="2" t="n">
        <v>0.00375</v>
      </c>
      <c r="O50" s="2" t="n">
        <v>0.00375</v>
      </c>
      <c r="P50" s="2" t="n">
        <v>0.00375</v>
      </c>
      <c r="Q50" s="2" t="n">
        <v>0.00375</v>
      </c>
      <c r="R50" s="2" t="n">
        <v>0.00375</v>
      </c>
      <c r="S50" s="2" t="n">
        <v>0.00375</v>
      </c>
      <c r="T50" s="2" t="n">
        <v>0.00375</v>
      </c>
      <c r="U50" s="2" t="n">
        <v>0.00375</v>
      </c>
      <c r="V50" s="2" t="n">
        <v>0.00375</v>
      </c>
      <c r="W50" s="2" t="n">
        <v>0.00375</v>
      </c>
      <c r="X50" s="2" t="n">
        <v>0.00375</v>
      </c>
    </row>
    <row r="51">
      <c r="A51" t="inlineStr"/>
      <c r="B51" t="inlineStr"/>
      <c r="C51" t="inlineStr">
        <is>
          <t>Косвенные: Аренда склада</t>
        </is>
      </c>
      <c r="D51" t="inlineStr"/>
      <c r="E51" t="inlineStr"/>
      <c r="F51" t="inlineStr"/>
      <c r="G51" t="inlineStr"/>
      <c r="H51" t="inlineStr"/>
      <c r="I51" s="2">
        <f>SUM(M51:X51)</f>
        <v/>
      </c>
      <c r="J51" t="inlineStr"/>
      <c r="K51" s="2">
        <f>I51</f>
        <v/>
      </c>
      <c r="L51" t="inlineStr"/>
      <c r="M51" s="2" t="n">
        <v>0.01</v>
      </c>
      <c r="N51" s="2" t="n">
        <v>0.01</v>
      </c>
      <c r="O51" s="2" t="n">
        <v>0.01</v>
      </c>
      <c r="P51" s="2" t="n">
        <v>0.01</v>
      </c>
      <c r="Q51" s="2" t="n">
        <v>0.01</v>
      </c>
      <c r="R51" s="2" t="n">
        <v>0.01</v>
      </c>
      <c r="S51" s="2" t="n">
        <v>0.01</v>
      </c>
      <c r="T51" s="2" t="n">
        <v>0.01</v>
      </c>
      <c r="U51" s="2" t="n">
        <v>0.01</v>
      </c>
      <c r="V51" s="2" t="n">
        <v>0.01</v>
      </c>
      <c r="W51" s="2" t="n">
        <v>0.01</v>
      </c>
      <c r="X51" s="2" t="n">
        <v>0.01</v>
      </c>
    </row>
    <row r="52">
      <c r="A52" t="inlineStr"/>
      <c r="B52" t="inlineStr"/>
      <c r="C52" t="inlineStr">
        <is>
          <t>Косвенные: Интернет</t>
        </is>
      </c>
      <c r="D52" t="inlineStr"/>
      <c r="E52" t="inlineStr"/>
      <c r="F52" t="inlineStr"/>
      <c r="G52" t="inlineStr"/>
      <c r="H52" t="inlineStr"/>
      <c r="I52" s="2">
        <f>SUM(M52:X52)</f>
        <v/>
      </c>
      <c r="J52" t="inlineStr"/>
      <c r="K52" s="2">
        <f>I52</f>
        <v/>
      </c>
      <c r="L52" t="inlineStr"/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</row>
    <row r="53">
      <c r="A53" t="inlineStr"/>
      <c r="B53" t="inlineStr"/>
      <c r="C53" t="inlineStr">
        <is>
          <t>Косвенные: Обращение с ТБО и ЖБО</t>
        </is>
      </c>
      <c r="D53" t="inlineStr"/>
      <c r="E53" t="inlineStr"/>
      <c r="F53" t="inlineStr"/>
      <c r="G53" t="inlineStr"/>
      <c r="H53" t="inlineStr"/>
      <c r="I53" s="2">
        <f>SUM(M53:X53)</f>
        <v/>
      </c>
      <c r="J53" t="inlineStr"/>
      <c r="K53" s="2">
        <f>I53</f>
        <v/>
      </c>
      <c r="L53" t="inlineStr"/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</row>
    <row r="54">
      <c r="A54" t="inlineStr"/>
      <c r="B54" t="inlineStr"/>
      <c r="C54" t="inlineStr">
        <is>
          <t>Косвенные: Охрана труда</t>
        </is>
      </c>
      <c r="D54" t="inlineStr"/>
      <c r="E54" t="inlineStr"/>
      <c r="F54" t="inlineStr"/>
      <c r="G54" t="inlineStr"/>
      <c r="H54" t="inlineStr"/>
      <c r="I54" s="2">
        <f>SUM(M54:X54)</f>
        <v/>
      </c>
      <c r="J54" t="inlineStr"/>
      <c r="K54" s="2">
        <f>I54</f>
        <v/>
      </c>
      <c r="L54" t="inlineStr"/>
      <c r="M54" s="2" t="n">
        <v>0.003829819641433365</v>
      </c>
      <c r="N54" s="2" t="n">
        <v>0.004997548756982445</v>
      </c>
      <c r="O54" s="2" t="n">
        <v>0.00541828773960998</v>
      </c>
      <c r="P54" s="2" t="n">
        <v>0.005690773468212573</v>
      </c>
      <c r="Q54" s="2" t="n">
        <v>0.006019331346965215</v>
      </c>
      <c r="R54" s="2" t="n">
        <v>0.006528789227655781</v>
      </c>
      <c r="S54" s="2" t="n">
        <v>0.008257199770204374</v>
      </c>
      <c r="T54" s="2" t="n">
        <v>0.01324933393920293</v>
      </c>
      <c r="U54" s="2" t="n">
        <v>0.01865146521782476</v>
      </c>
      <c r="V54" s="2" t="n">
        <v>0.01942419783316943</v>
      </c>
      <c r="W54" s="2" t="n">
        <v>0.01683690024334467</v>
      </c>
      <c r="X54" s="2" t="n">
        <v>0.01680962287127429</v>
      </c>
    </row>
    <row r="55">
      <c r="A55" t="inlineStr"/>
      <c r="B55" t="inlineStr"/>
      <c r="C55" t="inlineStr">
        <is>
          <t>Косвенные: Страхование от НС</t>
        </is>
      </c>
      <c r="D55" t="inlineStr"/>
      <c r="E55" t="inlineStr"/>
      <c r="F55" t="inlineStr"/>
      <c r="G55" t="inlineStr"/>
      <c r="H55" t="inlineStr"/>
      <c r="I55" s="2">
        <f>SUM(M55:X55)</f>
        <v/>
      </c>
      <c r="J55" t="inlineStr"/>
      <c r="K55" s="2">
        <f>I55</f>
        <v/>
      </c>
      <c r="L55" t="inlineStr"/>
      <c r="M55" s="2" t="n">
        <v>0.0009890793010752688</v>
      </c>
      <c r="N55" s="2" t="n">
        <v>0.001362537202380952</v>
      </c>
      <c r="O55" s="2" t="n">
        <v>0.001490423387096774</v>
      </c>
      <c r="P55" s="2" t="n">
        <v>0.001563194444444444</v>
      </c>
      <c r="Q55" s="2" t="n">
        <v>0.001650537634408602</v>
      </c>
      <c r="R55" s="2" t="n">
        <v>0.001757465277777777</v>
      </c>
      <c r="S55" s="2" t="n">
        <v>0.002037298387096774</v>
      </c>
      <c r="T55" s="2" t="n">
        <v>0.003318440084259006</v>
      </c>
      <c r="U55" s="2" t="n">
        <v>0.005126953173299571</v>
      </c>
      <c r="V55" s="2" t="n">
        <v>0.00539524008421653</v>
      </c>
      <c r="W55" s="2" t="n">
        <v>0.004676595649768774</v>
      </c>
      <c r="X55" s="2" t="n">
        <v>0.004669019122158718</v>
      </c>
    </row>
    <row r="56">
      <c r="A56" t="inlineStr"/>
      <c r="B56" t="inlineStr"/>
      <c r="C56" t="inlineStr">
        <is>
          <t>Косвенные: IT-материалы</t>
        </is>
      </c>
      <c r="D56" t="inlineStr"/>
      <c r="E56" t="inlineStr"/>
      <c r="F56" t="inlineStr"/>
      <c r="G56" t="inlineStr"/>
      <c r="H56" t="inlineStr"/>
      <c r="I56" s="2">
        <f>SUM(M56:X56)</f>
        <v/>
      </c>
      <c r="J56" t="inlineStr"/>
      <c r="K56" s="2">
        <f>I56</f>
        <v/>
      </c>
      <c r="L56" t="inlineStr"/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</row>
    <row r="57">
      <c r="A57" t="inlineStr"/>
      <c r="B57" t="inlineStr"/>
      <c r="C57" t="inlineStr">
        <is>
          <t>Косвенные: Приобретение контейнеров</t>
        </is>
      </c>
      <c r="D57" t="inlineStr"/>
      <c r="E57" t="inlineStr"/>
      <c r="F57" t="inlineStr"/>
      <c r="G57" t="inlineStr"/>
      <c r="H57" t="inlineStr"/>
      <c r="I57" s="2">
        <f>SUM(M57:X57)</f>
        <v/>
      </c>
      <c r="J57" t="inlineStr"/>
      <c r="K57" s="2">
        <f>I57</f>
        <v/>
      </c>
      <c r="L57" t="inlineStr"/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</row>
    <row r="58">
      <c r="A58" t="inlineStr"/>
      <c r="B58" t="inlineStr"/>
      <c r="C58" t="inlineStr">
        <is>
          <t>Косвенные: Приобретение модульного офиса</t>
        </is>
      </c>
      <c r="D58" t="inlineStr"/>
      <c r="E58" t="inlineStr"/>
      <c r="F58" t="inlineStr"/>
      <c r="G58" t="inlineStr"/>
      <c r="H58" t="inlineStr"/>
      <c r="I58" s="2">
        <f>SUM(M58:X58)</f>
        <v/>
      </c>
      <c r="J58" t="inlineStr"/>
      <c r="K58" s="2">
        <f>I58</f>
        <v/>
      </c>
      <c r="L58" t="inlineStr"/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</row>
    <row r="59">
      <c r="A59" t="inlineStr"/>
      <c r="B59" t="inlineStr"/>
      <c r="C59" t="inlineStr">
        <is>
          <t>Косвенные: Транспортные услуги</t>
        </is>
      </c>
      <c r="D59" t="inlineStr"/>
      <c r="E59" t="inlineStr"/>
      <c r="F59" t="inlineStr"/>
      <c r="G59" t="inlineStr"/>
      <c r="H59" t="inlineStr"/>
      <c r="I59" s="2">
        <f>SUM(M59:X59)</f>
        <v/>
      </c>
      <c r="J59" t="inlineStr"/>
      <c r="K59" s="2">
        <f>I59</f>
        <v/>
      </c>
      <c r="L59" t="inlineStr"/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</row>
    <row r="60">
      <c r="A60" t="inlineStr"/>
      <c r="B60" t="inlineStr"/>
      <c r="C60" t="inlineStr">
        <is>
          <t>Косвенные: Прочие косвенные расходы</t>
        </is>
      </c>
      <c r="D60" t="inlineStr"/>
      <c r="E60" t="inlineStr"/>
      <c r="F60" t="inlineStr"/>
      <c r="G60" t="inlineStr"/>
      <c r="H60" t="inlineStr"/>
      <c r="I60" s="2">
        <f>SUM(M60:X60)</f>
        <v/>
      </c>
      <c r="J60" t="inlineStr"/>
      <c r="K60" s="2">
        <f>I60</f>
        <v/>
      </c>
      <c r="L60" t="inlineStr"/>
      <c r="M60" s="2" t="n">
        <v>0.1156340451047333</v>
      </c>
      <c r="N60" s="2" t="n">
        <v>0.1479283078817688</v>
      </c>
      <c r="O60" s="2" t="n">
        <v>0.1517770493278158</v>
      </c>
      <c r="P60" s="2" t="n">
        <v>0.1441631474044739</v>
      </c>
      <c r="Q60" s="2" t="n">
        <v>0.137414644396184</v>
      </c>
      <c r="R60" s="2" t="n">
        <v>0.1464619577274115</v>
      </c>
      <c r="S60" s="2" t="n">
        <v>0.1808540319939207</v>
      </c>
      <c r="T60" s="2" t="n">
        <v>0.2990362434332491</v>
      </c>
      <c r="U60" s="2" t="n">
        <v>0.4313503734018985</v>
      </c>
      <c r="V60" s="2" t="n">
        <v>0.4505817404823743</v>
      </c>
      <c r="W60" s="2" t="n">
        <v>0.3905643816610822</v>
      </c>
      <c r="X60" s="2" t="n">
        <v>0.3899316303943984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Служебные данные приложения</t>
        </is>
      </c>
    </row>
    <row r="2">
      <c r="A2" t="inlineStr">
        <is>
          <t>{"application":"financial-economic-model","fileType":"contractor","schemaVersion":2,"savedAt":"2026-09-25T09:54:18.612Z","contractor":{"id":"c1","name":"Подрядчик 1","contracts":[{"id":"d_pilot_4700134128","number":"4700134128","name":"Договор по BOQ № 4700134128 · пилот 2026","year":2026,"vatRate":22,"vacationBasis":"annual","sourceIdentityConfirmed":true,"sourceIdentityEvidence":"BOQ!U2: к договору строительного подряда № 4700134128","sourceIdentities":{"boq":{"contractNumber":"4700134128"},"primary_documents":{"contractor":"Подрядчик-1--2","contractNumber":"НКНХ.10321","project":"ПЭ"},"payments":{"contractor":"ООО \"Подрядчик-1--2\"","alternateContractors":["Подрядчик-1--2, ООО"],"contractNumber":"120001358474","project":"мПЭ"},"personnel":{"contractor":"Подрядчик-1"},"equipment":{"contractor":"Подрядчик-1"}},"parameters":{"payroll":{"value":1875,"method":"monthly","enabled":true,"lag":0,"cash":true,"vat":false,"rateCurrency":"USD","rateSource":"Исходная модель, Детальная модель!E25","rateNote":"ВКС; прочие категории E26:E29 требуют отдельных драйверов"},"payrollTax":{"value":13,"method":"rate","enabled":true,"lag":0,"cash":true,"vat":false,"rateCurrency":null,"rateSource":"Исходная модель, строка 48","rateNote":"Расчётное допущение приложения; проверьте формулу НДФЛ"},"insurance":{"value":30.9,"method":"rate","enabled":true,"lag":0,"cash":true,"vat":false,"rateCurrency":null,"rateSource":"Исходная модель, Детальная модель!F26:F29","rateNote":"Для ВКС F25 = 0,9%; нужен раздельный персонал"},"vacation":{"value":8,"method":"rate","enabled":true,"lag":0,"cash":false,"vat":false,"rateCurrency":null,"rateSource":"Исходная модель, Детальная модель!F50","rateNote":"Согласованные 8% годового ФОТ/мес.; F50 = 9,22619% на другой базе"},"subcontract":{"value":0,"method":"percentRevenue","enabled":true,"lag":0,"cash":true,"vat":true,"rateCurrency":null,"rateSource":"Исходная модель, Детальная модель!F51","rateNote":"Ставка отсутствует; факт только по первичке"},"equipment":{"value":62.5,"method":"unit","enabled":true,"lag":0,"cash":true,"vat":true,"rateCurrency":"USD","rateSource":"Исходная модель, Детальная модель!F52","rateNote":""},"scaffolding":{"value":0,"method":"manual","enabled":true,"lag":0,"cash":true,"vat":true,"rateCurrency":"USD","rateSource":"Исходная модель, Детальная модель!F53","rateNote":"Ставка отсутствует; факт по первичке"},"scaffoldLabor":{"value":18.75,"method":"unit","enabled":true,"lag":0,"cash":true,"vat":true,"rateCurrency":"USD","rateSource":"Исходная модель, Детальная модель!F54","rateNote":""},"projectMaterials":{"value":10,"method":"materials","enabled":true,"lag":0,"cash":true,"vat":true,"rateCurrency":null,"rateSource":"Исходная модель, Детальная модель!F55","rateNote":"F55=10%; проверить состав базы МТР"},"consumables":{"value":10,"method":"percentPayroll","enabled":true,"lag":0,"cash":true,"vat":true,"rateCurrency":null,"rateSource":"Исходная модель, Детальная модель!F56","rateNote":""},"nrk":{"value":50,"method":"unit","enabled":true,"lag":0,"cash":true,"vat":true,"rateCurrency":"USD","rateSource":"Исходная модель, Детальная модель!F57","rateNote":""},"otherDirect":{"value":0,"method":"manual","enabled":true,"lag":0,"cash":true,"vat":true,"rateCurrency":"USD","rateSource":"Исходная модель, Детальная модель!F58","rateNote":"Ставка отсутствует; факт по первичке"},"indirectPayroll":{"value":2718.75,"method":"monthly","enabled":true,"lag":0,"cash":true,"vat":false,"rateCurrency":"USD","rateSource":"Исходная модель, Детальная модель!E31","rateNote":"ВКС; прочие категории E32:E35 требуют отдельных драйверов"},"indirectTax":{"value":13,"method":"rate","enabled":true,"lag":0,"cash":true,"vat":false,"rateCurrency":null,"rateSource":"Исходная модель, строка 61","rateNote":"Расчётное допущение приложения; проверьте формулу НДФЛ"},"indirectInsurance":{"value":30.9,"method":"rate","enabled":true,"lag":0,"cash":true,"vat":false,"rateCurrency":null,"rateSource":"Исходная модель, Детальная модель!F32:F35","rateNote":"Для ВКС F31 = 0,9%; нужен раздельный персонал"},"indirectVacation":{"value":8,"method":"rate","enabled":true,"lag":0,"cash":false,"vat":false,"rateCurrency":null,"rateSource":"Исходная модель, Детальная модель!F63","rateNote":"Согласованные 8% годового ФОТ/мес.; F63 = 9,22619% на другой базе"},"food":{"value":8.125,"method":"day","enabled":true,"lag":0,"cash":true,"vat":true,"rateCurrency":"USD","rateSource":"Исходная модель, Детальная модель!F64","rateNote":""},"housing":{"value":6.25,"method":"day","enabled":true,"lag":0,"cash":true,"vat":true,"rateCurrency":"USD","rateSource":"Исходная модель, Детальная модель!F65","rateNote":""},"bus":{"value":7991.803278688525,"method":"unit","enabled":true,"lag":0,"cash":true,"vat":true,"rateCurrency":"USD","rateSource":"Исходная модель, Детальная модель!F66","rateNote":""},"car":{"value":3995.9016393442625,"method":"unit","enabled":true,"lag":0,"cash":true,"vat":true,"rateCurrency":"USD","rateSource":"Исходная модель, Детальная модель!F67","rateNote":""},"formwork":{"value":0,"method":"manual","enabled":true,"lag":0,"cash":true,"vat":true,"rateCurrency":"USD","rateSource":"Исходная модель, строка 53","rateNote":"Нет отдельной ставки; факт по первичке"},"ppe":{"value":375,"method":"annualPerPerson","enabled":true,"lag":0,"cash":true,"vat":true,"rateCurrency":"USD","rateSource":"Исходная модель, Детальная модель!F68","rateNote":""},"tickets":{"value":500,"method":"rotation","enabled":true,"lag":0,"cash":true,"vat":true,"rateCurrency":"USD","rateSource":"Исходная модель, Детальная модель!F69","rateNote":""},"permit":{"value":100,"method":"perPerson","enabled":true,"lag":0,"cash":true,"vat":true,"rateCurrency":"USD","rateSource":"Исходная модель, Детальная модель!F70","rateNote":""},"medical":{"value":37.5,"method":"perPerson","enabled":true,"lag":0,"cash":true,"vat":true,"rateCurrency":"USD","rateSource":"Исходная модель, Детальная модель!F71","rateNote":""},"vziz":{"value":20.833333333333336,"method":"annualPerPerson","enabled":true,"lag":0,"cash":true,"vat":true,"rateCurrency":"USD","rateSource":"Исходная модель, Детальная модель!F72","rateNote":""},"office":{"value":3750,"method":"monthly","enabled":true,"lag":0,"cash":true,"vat":true,"rateCurrency":"USD","rateSource":"Исходная модель, Детальная модель!F73","rateNote":""},"warehouse":{"value":10000,"method":"monthly","enabled":true,"lag":0,"cash":true,"vat":true,"rateCurrency":"USD","rateSource":"Исходная модель, Детальная модель!F74","rateNote":""},"internet":{"value":0,"method":"monthly","enabled":true,"lag":0,"cash":true,"vat":true,"rateCurrency":"USD","rateSource":"Исходная модель, строка 74","rateNote":"Нет ставки в исходной модели; первичка"},"waste":{"value":0,"method":"monthly","enabled":true,"lag":0,"cash":true,"vat":true,"rateCurrency":"USD","rateSource":"Исходная модель, строка 74","rateNote":"Нет ставки в исходной модели; первичка"},"safety":{"value":1,"method":"percentPayroll","enabled":true,"lag":0,"cash":true,"vat":true,"rateCurrency":null,"rateSource":"Исходная модель, Детальная модель!F75","rateNote":""},"accident":{"value":62.5,"method":"annualPerPerson","enabled":true,"lag":0,"cash":true,"vat":true,"rateCurrency":"USD","rateSource":"Исходная модель, Детальная модель!F76","rateNote":""},"it":{"value":0,"method":"manual","enabled":true,"lag":0,"cash":true,"vat":true,"rateCurrency":"USD","rateSource":"Исходная модель, строка 77","rateNote":"Нет ставки в исходной модели; первичка"},"containers":{"value":0,"method":"manual","enabled":true,"lag":0,"cash":true,"vat":true,"rateCurrency":"USD","rateSource":"Исходная модель, строка 77","rateNote":"Нет ставки в исходной модели; первичка"},"modularOffice":{"value":0,"method":"manual","enabled":true,"lag":0,"cash":true,"vat":true,"rateCurrency":"USD","rateSource":"Исходная модель, строка 77","rateNote":"Нет ставки в исходной модели; первичка"},"transport":{"value":0,"method":"manual","enabled":true,"lag":0,"cash":true,"vat":true,"rateCurrency":"USD","rateSource":"Исходная модель, строка 77","rateNote":"Нет ставки в исходной модели; первичка"},"otherIndirect":{"value":10,"method":"percentDirect","enabled":true,"lag":0,"cash":true,"vat":true,"rateCurrency":null,"rateSource":"Исходная модель, Детальная модель!F77","rateNote":"Базу прочих косвенных нужно сверить"}},"sources":{},"versions":[{"id":"v_factor_example_2026","name":"Факторный пример 2026 · объём + цена","created":"2026-09-22","drivers":{"revenue":[0,0,0,0,0,0,0,0,0,0,0,0],"materials":[0,0,0,0,0,0,0,0,0,0,0,0],"directPeople":[189.90322580645162,261.60714285714283,286.16129032258067,300.1333333333333,316.9032258064516,337.43333333333334,391.16129032258067,637.1404961777292,984.3750092735177,1035.8860961695739,897.9063647556046,896.4516714544739],"indirectPeople":[132.16129032258064,159.39285714285714,149.06451612903226,134.73333333333332,140.3548387096774,149.93333333333334,153.2258064516129,201.40332697824803,256.28461815241303,262.99014151058645,245.4750357357657,245.27618933925038],"equipmentHours":[6969.677419354838,9387.857142857141,8856.774193548386,7895.333333333333,6751.612903225807,7132.666666666667,8261.290322580646,14951.498256374407,23099.899195021524,24308.687414465505,21070.777210943455,21036.640557433133],"nrkVolume":[2580.86,2463.6,2611.81,1450.7,517.33,257.5,257.5,99.68,0,0,0,0],"payments":[1509602.2599999998,757302.57,0,0,0,0,0,0,0,0,0,0],"advances":[0,0,0,0,0,0,0,0,0,0,0,0],"advanceOffset":[0,0,855582.93,951327.04,283103.6583333334,1154294.63,477425.03,-356263.83,0,0,0,0],"factoring":[0,0,855793.4600000001,368843.94,1075924.21,1576418.9899999998,2192909.4,1640058.1000000003,0,0,0,0],"guaranteeRate":[0,0,0,0,0,0,0,0,0,0,0,0],"otherRevenue":[0,0,0,0,0,0,0,0,0,0,0,0],"scaffoldPeople":[15.935483870967742,24.857142857142858,23.06451612903226,27.8,26.161290322580644,31.266666666666666,34.483870967741936,53.277198682704416,56.065126438965336,48.59726764991146,48.518535476403784,36.761741907604325],"laborIntensity":[409.7039170506912,470.41129032258067,472.26236559139784,479.4365591397849,503.9494623655914,572.3612903225807,824.8501735970842,1239.05553493447,1348.2358407609522,1347.473505330072,1191.8999359677741,1178.4896027013285],"passivePeople":[71.70391705069122,24.554147465437836,13.972043010752657,16.76989247311826,20.53010752688175,53.72795698924733,245.97920585514856,347.23451309578843,51.51108689605621,0,0,0],"sourceDays":[28,31,30,31,30,31,31,30,31,30,31,31],"ksgRevenue":[3275953.075543789,2013409.333664067,1594737.4527735854,1807886.805070287,2588273.9670239454,3673955.9258798347,3205839.975224204,4924088.311754243,7428741.482480898,8556531.741194054,7940044.421648627,7660652.4337143395],"ksgMaterialsRevenue":[191447.27324999997,98847.105875,81736.970125,118822.86812499998,187298.94249999998,307669.6691249999,179654.85325,305580.5165416666,511655.9329166666,553877.2146249999,310603.74504166667,192066.19537499998],"ks2Accepted":[1812026.8103878826,3128756.6325273584,2139663.7078520395,1636604.6408626337,1786571.8698406168,2510235.25082858,3565387.729994246,3252651.5702897673,4752263.4781012405,7178276.165408231,8443752.715322739,8001693.15360317],"primaryExecuted":[1421531.7799999998,0,1639813.72258836,2003553.48,981266.75,4503276.25,1764521.6300000001,1306310.04,0,0,0,0],"primaryDeductions":[71108.875,0,11875,185520.625,0,85134.5,111190,0,0,0,0,0],"primaryAdvanceOffset":[0,0,855582.93,951327.04,283103.6583333334,1154294.63,477425.03,-356263.83,0,0,0,0],"primaryGuaranteeHold":[71076.59,0,81990.69,100177.68,49063.33,225163.82,88226.09000000001,65315.5,0,0,0,0],"paymentVat":[301920.45999999996,151460.51,0,0,0,0,0,0,0,0,0,0],"advanceVat":[0,0,0,0,0,0,0,0,0,0,0,0],"physicalVolume":[3187.861,1088.27,3582.7499999999995,3271.0800000000004,9522.839999999998,29722.550000000007,29936.079999999994,77461.05249999999,154808.91333333327,136962.69666666666,125749.28249999999,122014.1975]},"parameters":{"payroll":{"value":1875,"method":"monthly","enabled":true,"lag":0,"cash":true,"vat":false,"rateCurrency":"USD","rateSource":"Исходная модель, Детальная модель!E25","rateNote":"ВКС; прочие категории E26:E29 требуют отдельных драйверов"},"payrollTax":{"value":13,"method":"rate","enabled":true,"lag":0,"cash":true,"vat":false,"rateCurrency":null,"rateSource":"Исходная модель, строка 48","rateNote":"Расчётное допущение приложения; проверьте формулу НДФЛ"},"insurance":{"value":30.9,"method":"rate","enabled":true,"lag":0,"cash":true,"vat":false,"rateCurrency":null,"rateSource":"Исходная модель, Детальная модель!F26:F29","rateNote":"Для ВКС F25 = 0,9%; нужен раздельный персонал"},"vacation":{"value":9.226190476190476,"method":"rate","enabled":true,"lag":0,"cash":false,"vat":false,"rateCurrency":null,"rateSource":"Исходная модель, Детальная модель!F50","rateNote":"Согласованные 8% годового ФОТ/мес.; F50 = 9,22619% на другой базе"},"subcontract":{"value":0,"method":"percentRevenue","enabled":true,"lag":0,"cash":true,"vat":true,"rateCurrency":null,"rateSource":"Исходная модель, Детальная модель!F51","rateNote":"Ставка отсутствует; факт только по первичке"},"equipment":{"value":62.5,"method":"unit","enabled":true,"lag":0,"cash":true,"vat":true,"rateCurrency":"USD","rateSource":"Исходная модель, Детальная модель!F52","rateNote":""},"scaffolding":{"value":0,"method":"manual","enabled":true,"lag":0,"cash":true,"vat":true,"rateCurrency":"USD","rateSource":"Исходная модель, Детальная модель!F53","rateNote":"Ставка отсутствует; факт по первичке"},"scaffoldLabor":{"value":18.75,"method":"unit","enabled":true,"lag":0,"cash":true,"vat":true,"rateCurrency":"USD","rateSource":"Исходная модель, Детальная модель!F54","rateNote":""},"projectMaterials":{"value":10,"method":"materials","enabled":true,"lag":0,"cash":true,"vat":true,"rateCurrency":null,"rateSource":"Исходная модель, Детальная модель!F55","rateNote":"F55=10%; проверить состав базы МТР"},"consumables":{"value":10,"method":"percentPayroll","enabled":true,"lag":0,"cash":true,"vat":true,"rateCurrency":null,"rateSource":"Исходная модель, Детальная модель!F56","rateNote":""},"nrk":{"value":50,"method":"unit","enabled":true,"lag":0,"cash":true,"vat":true,"rateCurrency":"USD","rateSource":"Исходная модель, Детальная модель!F57","rateNote":""},"otherDirect":{"value":0,"method":"manual","enabled":true,"lag":0,"cash":true,"vat":true,"rateCurrency":"USD","rateSource":"Исходная модель, Детальная модель!F58","rateNote":"Ставка отсутствует; факт по первичке"},"indirectPayroll":{"value":2718.75,"method":"monthly","enabled":true,"lag":0,"cash":true,"vat":false,"rateCurrency":"USD","rateSource":"Исходная модель, Детальная модель!E31","rateNote":"ВКС; прочие категории E32:E35 требуют отдельных драйверов"},"indirectTax":{"value":13,"method":"rate","enabled":true,"lag":0,"cash":true,"vat":false,"rateCurrency":null,"rateSource":"Исходная модель, строка 61","rateNote":"Расчётное допущение приложения; проверьте формулу НДФЛ"},"indirectInsurance":{"value":30.9,"method":"rate","enabled":true,"lag":0,"cash":true,"vat":false,"rateCurrency":null,"rateSource":"Исходная модель, Детальная модель!F32:F35","rateNote":"Для ВКС F31 = 0,9%; нужен раздельный персонал"},"indirectVacation":{"value":9.226190476190476,"method":"rate","enabled":true,"lag":0,"cash":false,"vat":false,"rateCurrency":null,"rateSource":"Исходная модель, Детальная модель!F63","rateNote":"Согласованные 8% годового ФОТ/мес.; F63 = 9,22619% на другой базе"},"food":{"value":8.125,"method":"day","enabled":true,"lag":0,"cash":true,"vat":true,"rateCurrency":"USD","rateSource":"Исходная модель, Детальная модель!F64","rateNote":""},"housing":{"value":6.25,"method":"day","enabled":true,"lag":0,"cash":true,"vat":true,"rateCurrency":"USD","rateSource":"Исходная модель, Детальная модель!F65","rateNote":""},"bus":{"value":7991.803278688525,"method":"unit","enabled":true,"lag":0,"cash":true,"vat":true,"rateCurrency":"USD","rateSource":"Исходная модель, Детальная модель!F66","rateNote":""},"car":{"value":3995.9016393442625,"method":"unit","enabled":true,"lag":0,"cash":true,"vat":true,"rateCurrency":"USD","rateSource":"Исходная модель, Детальная модель!F67","rateNote":""},"formwork":{"value":0,"method":"manual","enabled":true,"lag":0,"cash":true,"vat":true,"rateCurrency":"USD","rateSource":"Исходная модель, строка 53","rateNote":"Нет отдельной ставки; факт по первичке"},"ppe":{"value":375,"method":"annualPerPerson","enabled":true,"lag":0,"cash":true,"vat":true,"rateCurrency":"USD","rateSource":"Исходная модель, Детальная модель!F68","rateNote":""},"tickets":{"value":500,"method":"rotation","enabled":true,"lag":0,"cash":true,"vat":true,"rateCurrency":"USD","rateSource":"Исходная модель, Детальная модель!F69","rateNote":""},"permit":{"value":100,"method":"perPerson","enabled":true,"lag":0,"cash":true,"vat":true,"rateCurrency":"USD","rateSource":"Исходная модель, Детальная модель!F70","rateNote":""},"medical":{"value":37.5,"method":"perPerson","enabled":true,"lag":0,"cash":true,"vat":true,"rateCurrency":"USD","rateSource":"Исходная модель, Детальная модель!F71","rateNote":""},"vziz":{"value":20.833333333333336,"method":"annualPerPerson","enabled":true,"lag":0,"cash":true,"vat":true,"rateCurrency":"USD","rateSource":"Исходная модель, Детальная модель!F72","rateNote":""},"office":{"value":3750,"method":"monthly","enabled":true,"lag":0,"cash":true,"vat":true,"rateCurrency":"USD","rateSource":"Исходная модель, Детальная модель!F73","rateNote":""},"warehouse":{"value":10000,"method":"monthly","enabled":true,"lag":0,"cash":true,"vat":true,"rateCurrency":"USD","rateSource":"Исходная модель, Детальная модель!F74","rateNote":""},"internet":{"value":0,"method":"monthly","enabled":true,"lag":0,"cash":true,"vat":true,"rateCurrency":"USD","rateSource":"Исходная модель, строка 74","rateNote":"Нет ставки в исходной модели; первичка"},"waste":{"value":0,"method":"monthly","enabled":true,"lag":0,"cash":true,"vat":true,"rateCurrency":"USD","rateSource":"Исходная модель, строка 74","rateNote":"Нет ставки в исходной модели; первичка"},"safety":{"value":1,"method":"percentPayroll","enabled":true,"lag":0,"cash":true,"vat":true,"rateCurrency":null,"rateSource":"Исходная модель, Детальная модель!F75","rateNote":""},"accident":{"value":62.5,"method":"annualPerPerson","enabled":true,"lag":0,"cash":true,"vat":true,"rateCurrency":"USD","rateSource":"Исходная модель, Детальная модель!F76","rateNote":""},"it":{"value":0,"method":"manual","enabled":true,"lag":0,"cash":true,"vat":true,"rateCurrency":"USD","rateSource":"Исходная модель, строка 77","rateNote":"Нет ставки в исходной модели; первичка"},"containers":{"value":0,"method":"manual","enabled":true,"lag":0,"cash":true,"vat":true,"rateCurrency":"USD","rateSource":"Исходная модель, строка 77","rateNote":"Нет ставки в исходной модели; первичка"},"modularOffice":{"value":0,"method":"manual","enabled":true,"lag":0,"cash":true,"vat":true,"rateCurrency":"USD","rateSource":"Исходная модель, строка 77","rateNote":"Нет ставки в исходной модели; первичка"},"transport":{"value":0,"method":"manual","enabled":true,"lag":0,"cash":true,"vat":true,"rateCurrency":"USD","rateSource":"Исходная модель, строка 77","rateNote":"Нет ставки в исходной модели; первичка"},"otherIndirect":{"value":10,"method":"percentDirect","enabled":true,"lag":0,"cash":true,"vat":true,"rateCurrency":null,"rateSource":"Исходная модель, Детальная модель!F77","rateNote":"Базу прочих косвенных нужно сверить"}},"year":2026,"vatRate":22,"vacationBasis":"source","bindings":{},"manualCosts":{},"manualPayments":{},"dataMode":"source_partial","currency":"USD","fxRate":80,"fxRateSource":"Исходная модель, Детальная модель!E2; имитационный, подтвердить для договора","workItems":[{"sourceKind":"ksg","sourceRow":5,"sourceKey":"auto-354faac6","workId":"","name":"Демонтаж дорог, площадок и тротуаров","unit":"м3","kq1":"","kq2":"KQ-01-01","stableKey":"auto-c2627ef2","plannedQuantity":2256.46,"scheduleQuantity":1539.881,"volumes":[22.011,6.74,143.03,446.15,274.9,599.12,35.65,12.28,0,0,0,0],"matchRule":"exact","matchConfidence":1,"contractRate":181.61706873841757,"currentRate":0,"actualRate":0,"rate":181.61706873841757},{"sourceKind":"ksg","sourceRow":8,"sourceKey":"auto-d3ba77bf","workId":"","name":"Демонтаж элементов металлоконструкций","unit":"т","kq1":"","kq2":"KQ-03-01","stableKey":"auto-18aa5086","plannedQuantity":20.75,"scheduleQuantity":20.75,"volumes":[0.14,0,0,0.16,0,0,1.3,19.15,0,0,0,0],"matchRule":"exact","matchConfidence":1,"contractRate":2479.7778468976153,"currentRate":0,"actualRate":0,"rate":2479.7778468976153},{"sourceKind":"ksg","sourceRow":10,"sourceKey":"auto-1e17fbd2","workId":"","name":"Демонтаж кровельных покрытий","unit":"м2","kq1":"","kq2":"KQ-111-11","stableKey":"auto-736d9865","plannedQuantity":6445.75,"scheduleQuantity":6408.93,"volumes":[0,0,0,0,0,0,0,2136.31,2136.31,2136.31,0,0],"matchRule":"exact","matchConfidence":1,"contractRate":214.7967168924523,"currentRate":0,"actualRate":0,"rate":214.7967168924523},{"sourceKind":"ksg","sourceRow":11,"sourceKey":"auto-278a04e2","workId":"","name":"Демонтаж облицовки фасадов","unit":"м2","kq1":"","kq2":"KQ-111-11","stableKey":"auto-099d0434","plannedQuantity":0.72,"scheduleQuantity":0.72,"volumes":[0,0,0,0,0,0,0,0.72,0,0,0,0],"matchRule":"exact","matchConfidence":1,"contractRate":214.7967168924523,"currentRate":0,"actualRate":0,"rate":214.7967168924523},{"sourceKind":"ksg","sourceRow":12,"sourceKey":"auto-4fb56a14","workId":"","name":"Демонтаж легковозводимых перегородок","unit":"м2","kq1":"","kq2":"KQ-111-11","stableKey":"auto-d17fa40d","plannedQuantity":774.5,"scheduleQuantity":774.5,"volumes":[0,0,0,0,774.5,0,0,0,0,0,0,0],"matchRule":"exact","matchConfidence":1,"contractRate":214.7967168924523,"currentRate":0,"actualRate":0,"rate":214.7967168924523},{"sourceKind":"ksg","sourceRow":13,"sourceKey":"auto-d48dbedf","workId":"","name":"Демонтаж элементов заполнения проемов зданий и сооружений","unit":"м2","kq1":"","kq2":"KQ-111-11","stableKey":"auto-9b742e9b","plannedQuantity":13.77,"scheduleQuantity":9.45,"volumes":[0,0,0,0,9.45,0,0,0,0,0,0,0],"matchRule":"exact","matchConfidence":1,"contractRate":214.7967168924523,"currentRate":0,"actualRate":0,"rate":214.7967168924523},{"sourceKind":"ksg","sourceRow":14,"sourceKey":"auto-ea2d0f8a","workId":"","name":"Демонтаж черновой отделки","unit":"м2","kq1":"","kq2":"KQ-03-08","stableKey":"auto-8868b569","plannedQuantity":504.45,"scheduleQuantity":504.45,"volumes":[0,0,0,0,503.28,1.17,0,0,0,0,0,0],"matchRule":"exact","matchConfidence":1,"contractRate":61.99814671550065,"currentRate":0,"actualRate":0,"rate":61.99814671550065},{"sourceKind":"ksg","sourceRow":16,"sourceKey":"auto-b2e30ee9","workId":"","name":"Демонтаж инженерного и технологического оборудования","unit":"т","kq1":"","kq2":"KQ-03-10","stableKey":"auto-55c90949","plannedQuantity":71.6,"scheduleQuantity":34.91,"volumes":[0,0,0,0,0,0,0.3,22.47,10.14,2,0,0],"matchRule":"exact","matchConfidence":1,"contractRate":7205.701448156758,"currentRate":0,"actualRate":0,"rate":7205.701448156758},{"sourceKind":"ksg","sourceRow":17,"sourceKey":"auto-392f0bbd","workId":"","name":"Демонтаж инженерных и технологических трубопроводов","unit":"м","kq1":"","kq2":"KQ-03-13","stableKey":"auto-cc0b3eae","plannedQuantity":3490.03,"scheduleQuantity":2439.21,"volumes":[0,0,0,0,0,0,0,2230.61,34.5,150.5,23.6,0],"matchRule":"exact","matchConfidence":1,"contractRate":70.57416113781942,"currentRate":0,"actualRate":0,"rate":70.57416113781942},{"sourceKind":"ksg","sourceRow":18,"sourceKey":"auto-fc844a13","workId":"","name":"Демонтаж ЗРА и встраиваемых линейных элементов","unit":"шт.","kq1":"","kq2":"KQ-03-14","stableKey":"auto-f276eeb9","plannedQuantity":304,"scheduleQuantity":33,"volumes":[0,0,0,0,0,0,1,17,2,1,12,0],"matchRule":"exact","matchConfidence":1,"contractRate":60.17761919468424,"currentRate":0,"actualRate":0,"rate":60.17761919468424},{"sourceKind":"ksg","sourceRow":20,"sourceKey":"auto-423c47b3","workId":"","name":"Демонтаж воздуховодов","unit":"м2","kq1":"","kq2":"KQ-03-17","stableKey":"auto-89985a66","plannedQuantity":2413,"scheduleQuantity":425.89000000000004,"volumes":[0,0,0,0,0,0,129.54,98.78333333333335,98.78333333333335,98.78333333333335,0,0],"matchRule":"exact","matchConfidence":1,"contractRate":11.65124608169368,"currentRate":0,"actualRate":0,"rate":11.65124608169368},{"sourceKind":"ksg","sourceRow":21,"sourceKey":"auto-f0e34c47","workId":"","name":"Демонтаж элементов воздухозабора и воздухораспредения","unit":"шт.","kq1":"","kq2":"KQ-03-18","stableKey":"auto-e1428e17","plannedQuantity":233,"scheduleQuantity":19,"volumes":[0,0,0,0,0,0,2,17,0,0,0,0],"matchRule":"exact","matchConfidence":1,"contractRate":105.40625315013656,"currentRate":0,"actualRate":0,"rate":105.40625315013656},{"sourceKind":"ksg","sourceRow":23,"sourceKey":"auto-193923fc","workId":"","name":"Демонтаж кабелей и проводов","unit":"м","kq1":"","kq2":"KQ-03-25","stableKey":"auto-5c698f34","plannedQuantity":44114,"scheduleQuantity":32024,"volumes":[0,0,0,0,0,0,4800.24,1580.38,25615.38,28,0,0],"matchRule":"exact","matchConfidence":1,"contractRate":6.721939021486025,"currentRate":0,"actualRate":0,"rate":6.721939021486025},{"sourceKind":"ksg","sourceRow":24,"sourceKey":"auto-c4b21ffb","workId":"","name":"Демонтаж электроустановочных изделий и компонентов КИПиА и слаботочных систем","unit":"шт.","kq1":"","kq2":"KQ-03-26","stableKey":"auto-eded81fa","plannedQuantity":44,"scheduleQuantity":36,"volumes":[0,0,0,0,0,0,0,11.91,11.09,13,0,0],"matchRule":"exact","matchConfidence":1,"contractRate":108.39488148529834,"currentRate":0,"actualRate":0,"rate":108.39488148529834},{"sourceKind":"ksg","sourceRow":25,"sourceKey":"auto-705b870d","workId":"","name":"Демонтаж изоляции","unit":"м2","kq1":"","kq2":"KQ-03-27","stableKey":"auto-443435c5","plannedQuantity":74.31,"scheduleQuantity":25.44,"volumes":[0,0,0,0,0,0,0,25.44,0,0,0,0],"matchRule":"exact","matchConfidence":1,"contractRate":63.60972877717813,"currentRate":0,"actualRate":0,"rate":63.60972877717813},{"sourceKind":"ksg","sourceRow":26,"sourceKey":"auto-beb47559","workId":"","name":"Расчистка и планировка площадки строительства","unit":"м2","kq1":"","kq2":"KQ-05-01","stableKey":"auto-342c9105","plannedQuantity":3446,"scheduleQuantity":3446,"volumes":[0,0,0,0,0,3446,0,0,0,0,0,0],"matchRule":"exact","matchConfidence":1,"contractRate":7.875669892926537,"currentRate":0,"actualRate":0,"rate":7.875669892926537},{"sourceKind":"ksg","sourceRow":28,"sourceKey":"auto-5a9fd564","workId":"","name":"Разработка грунта с погрузкой","unit":"м3","kq1":"","kq2":"KQ-09-01","stableKey":"auto-5cca581c","plannedQuantity":11161.38,"scheduleQuantity":1807.6899999999998,"volumes":[116.06,63.76,119.24,133.35,246.07,1120.11,0,3.5,0,0,0,5.6],"matchRule":"exact","matchConfidence":1,"contractRate":82.71553086581841,"currentRate":0,"actualRate":0,"rate":82.71553086581841},{"sourceKind":"ksg","sourceRow":30,"sourceKey":"auto-701cd310","workId":"","name":"Обратная засыпка грунта с уплотнением","unit":"м3","kq1":"","kq2":"KQ-10-01","stableKey":"auto-e7274e25","plannedQuantity":9453.68,"scheduleQuantity":1894.8600000000001,"volumes":[117.13,27.01,184.57,120.64,334.32,1040.21,0,18.51,0,52.47,0,0],"matchRule":"exact","matchConfidence":1,"contractRate":68.54168299382033,"currentRate":0,"actualRate":0,"rate":68.54168299382033},{"sourceKind":"ksg","sourceRow":31,"sourceKey":"auto-211e0a13","workId":"","name":"Устройство подбетонки","unit":"м3","kq1":"","kq2":"KQ-12-01","stableKey":"auto-12587403","plannedQuantity":332.65,"scheduleQuantity":66.11,"volumes":[4.32,7.85,2.44,0.77,24.44,21.46,0,4.83,0,0,0,0],"matchRule":"exact","matchConfidence":1,"contractRate":333.6880358759681,"currentRate":0,"actualRate":0,"rate":333.6880358759681},{"sourceKind":"ksg","sourceRow":32,"sourceKey":"auto-c228a77c","workId":"","name":"Устройство монолитных конструкций ниже 0 (за исключением колодцев)","unit":"м3","kq1":"","kq2":"KQ-12-02","stableKey":"auto-53e20f97","plannedQuantity":1898.39,"scheduleQuantity":386.00000000000006,"volumes":[118.17,89.92,15.81,5.65,24.74,98.25,21.16,12.3,0,0,0,0],"matchRule":"exact","matchConfidence":1,"contractRate":1143.970036669567,"currentRate":0,"actualRate":0,"rate":1143.970036669567},{"sourceKind":"ksg","sourceRow":33,"sourceKey":"auto-2ec6247c","workId":"","name":"Утепление строительных конструкций ниже 0","unit":"м3","kq1":"","kq2":"KQ-12-03","stableKey":"auto-02074cc8","plannedQuantity":24.07,"scheduleQuantity":22.919999999999998,"volumes":[0,0,6.1,10.56,2.42,1.91,0,1.93,0,0,0,0],"matchRule":"exact","matchConfidence":1,"contractRate":482.33722088206144,"currentRate":0,"actualRate":0,"rate":482.33722088206144},{"sourceKind":"ksg","sourceRow":34,"sourceKey":"auto-0b3bcc8c","workId":"","name":"Устройство монолитных конструкций выше 0","unit":"м3","kq1":"","kq2":"KQ-13-01","stableKey":"auto-e2614a75","plannedQuantity":1018.54,"scheduleQuantity":352.45,"volumes":[199.58,2.38,0.08,94.32,37.27,8.63,1,8.93,0,0.26,0,0],"matchRule":"exact","matchConfidence":1,"contractRate":3254.213302200848,"currentRate":0,"actualRate":0,"rate":3254.213302200848},{"sourceKind":"ksg","sourceRow":36,"sourceKey":"auto-39699570","workId":"","name":"Устройство безусадочной подливки","unit":"м3","kq1":"","kq2":"KQ-16-01","stableKey":"auto-f7db543f","plannedQuantity":129.58,"scheduleQuantity":128.18,"volumes":[0,0,10.41,19.45,12.49,16.83,17.31,22.37,26,3.32,0,0],"matchRule":"exact","matchConfidence":1,"contractRate":4454.7041209872905,"currentRate":0,"actualRate":0,"rate":4454.7041209872905},{"sourceKind":"ksg","sourceRow":37,"sourceKey":"auto-b9393a14","workId":"","name":"Устройство монолитных колодцев","unit":"м3","kq1":"","kq2":"KQ-18-02","stableKey":"auto-a62a1299","plannedQuantity":4.37,"scheduleQuantity":3.86,"volumes":[0,0,0.72,0.95,0,2.19,0,0,0,0,0,0],"matchRule":"exact","matchConfidence":1,"contractRate":1836.046510463661,"currentRate":0,"actualRate":0,"rate":1836.046510463661},{"sourceKind":"ksg","sourceRow":38,"sourceKey":"auto-0a0241a9","workId":"","name":"Монтаж трубопроводов подземных сетей (пластиковые)","unit":"м","kq1":"","kq2":"KQ-19-01","stableKey":"auto-</t>
        </is>
      </c>
    </row>
    <row r="3">
      <c r="A3" t="inlineStr">
        <is>
          <t>330d0363","plannedQuantity":9,"scheduleQuantity":9,"volumes":[0,0,0,0,0,0,0,0,0,3,0,6],"matchRule":"exact","matchConfidence":1,"contractRate":379.6062968310553,"currentRate":0,"actualRate":0,"rate":379.6062968310553},{"sourceKind":"ksg","sourceRow":39,"sourceKey":"auto-be667387","workId":"","name":"Монтаж запорно-регулирующей арматуры наружн. инженерных сетей","unit":"шт.","kq1":"","kq2":"KQ-19-05","stableKey":"auto-2b0bdce6","plannedQuantity":1,"scheduleQuantity":1,"volumes":[0,0,0,0,0,0,0,0,0,0,0,1],"matchRule":"exact","matchConfidence":1,"contractRate":1408.971491042202,"currentRate":0,"actualRate":0,"rate":1408.971491042202},{"sourceKind":"ksg","sourceRow":40,"sourceKey":"auto-a9dbfa8f","workId":"","name":"Устройство открытого подземного перехода (футляра)","unit":"м","kq1":"","kq2":"KQ-20-02","stableKey":"auto-234979cf","plannedQuantity":5.1,"scheduleQuantity":5.1,"volumes":[0,0,0,0,5.1,0,0,0,0,0,0,0],"matchRule":"exact","matchConfidence":1,"contractRate":683.2825025568851,"currentRate":0,"actualRate":0,"rate":683.2825025568851},{"sourceKind":"ksg","sourceRow":41,"sourceKey":"auto-10f6b037","workId":"","name":"Протаскивание труб в футляр","unit":"м","kq1":"","kq2":"KQ-20-03","stableKey":"auto-a278e614","plannedQuantity":5.1,"scheduleQuantity":5.1,"volumes":[0,0,0,0,5.1,0,0,0,0,0,0,0],"matchRule":"exact","matchConfidence":1,"contractRate":126.78294131315943,"currentRate":0,"actualRate":0,"rate":126.78294131315943},{"sourceKind":"ksg","sourceRow":42,"sourceKey":"auto-c6ed0b81","workId":"","name":"Монтаж основных металлоконструкций зданий","unit":"т","kq1":"","kq2":"KQ-22-01","stableKey":"auto-27d04a17","plannedQuantity":1.86,"scheduleQuantity":1.86,"volumes":[0,0,0,0,0,0,1.86,0,0,0,0,0],"matchRule":"exact","matchConfidence":1,"contractRate":2661.316151656845,"currentRate":0,"actualRate":0,"rate":2661.316151656845},{"sourceKind":"ksg","sourceRow":43,"sourceKey":"auto-e479151b","workId":"","name":"Монтаж основных металлоконструкций этажерок и структур","unit":"т","kq1":"","kq2":"KQ-22-02","stableKey":"auto-6c8b96f6","plannedQuantity":878.58,"scheduleQuantity":756.3600000000001,"volumes":[145.32,136,78.9,60.66,60.53,95.76,54.88,38.81666666666667,7.86,38.81666666666667,38.81666666666667,0],"matchRule":"exact","matchConfidence":1,"contractRate":2977.4962392927728,"currentRate":0,"actualRate":0,"rate":2977.4962392927728},{"sourceKind":"ksg","sourceRow":44,"sourceKey":"auto-3ee7a0a2","workId":"","name":"Монтаж основных металлоконструкций эстакад","unit":"т","kq1":"","kq2":"KQ-22-03","stableKey":"auto-718e5d8c","plannedQuantity":39.58,"scheduleQuantity":39.58,"volumes":[0,0,34.61,1.19,0,0,0,3.78,0,0,0,0],"matchRule":"exact","matchConfidence":1,"contractRate":3529.527375614721,"currentRate":0,"actualRate":0,"rate":3529.527375614721},{"sourceKind":"ksg","sourceRow":45,"sourceKey":"auto-74174871","workId":"","name":"Монтаж второстепенных металлоконструкций","unit":"т","kq1":"","kq2":"KQ-23-01","stableKey":"auto-28b5b412","plannedQuantity":255.01,"scheduleQuantity":244.95,"volumes":[34.44,37.27,48.37,39.61,14.07,9.04,7.39,17.296666666666667,2.87,17.296666666666667,17.296666666666667,0],"matchRule":"exact","matchConfidence":1,"contractRate":6065.087713652792,"currentRate":0,"actualRate":0,"rate":6065.087713652792},{"sourceKind":"ksg","sourceRow":46,"sourceKey":"auto-0eee9f5f","workId":"","name":"Монтаж металлоконструкций усиления","unit":"т","kq1":"","kq2":"KQ-23-02","stableKey":"auto-43630209","plannedQuantity":4.16,"scheduleQuantity":4.16,"volumes":[0,0,0,0,0,0,0,0.09,2.6,1.47,0,0],"matchRule":"exact","matchConfidence":1,"contractRate":11080.965152184348,"currentRate":0,"actualRate":0,"rate":11080.965152184348},{"sourceKind":"ksg","sourceRow":47,"sourceKey":"auto-2374ca6d","workId":"","name":"Монтаж решетчатого настила","unit":"м2","kq1":"","kq2":"KQ-24-01","stableKey":"auto-8e2cdbdf","plannedQuantity":288.23,"scheduleQuantity":288.23,"volumes":[0,0,0,0,0,182.39,3.36,34.160000000000004,34.160000000000004,34.160000000000004,0,0],"matchRule":"exact","matchConfidence":1,"contractRate":129.68055800145456,"currentRate":0,"actualRate":0,"rate":129.68055800145456},{"sourceKind":"ksg","sourceRow":48,"sourceKey":"auto-3c14607d","workId":"","name":"Монтаж стеновых сэндвич панелей","unit":"м2","kq1":"","kq2":"KQ-25-01","stableKey":"auto-06aa4a3e","plannedQuantity":2545.4,"scheduleQuantity":2545.4000000000005,"volumes":[0,0,0,0,1807.96,159.97,0,84.76,323.19,84.76,84.76,0],"matchRule":"exact","matchConfidence":1,"contractRate":318.09430051272454,"currentRate":0,"actualRate":0,"rate":318.09430051272454},{"sourceKind":"ksg","sourceRow":49,"sourceKey":"auto-1c959d05","workId":"","name":"Монтаж кровельных сэндвич панелей","unit":"м2","kq1":"","kq2":"KQ-25-02","stableKey":"auto-dbab5aa5","plannedQuantity":386.91,"scheduleQuantity":386.90999999999997,"volumes":[0,0,0,0,0,0,0,86.37666666666667,127.78,86.37666666666667,86.37666666666667,0],"matchRule":"exact","matchConfidence":1,"contractRate":277.3994571142202,"currentRate":0,"actualRate":0,"rate":277.3994571142202},{"sourceKind":"ksg","sourceRow":51,"sourceKey":"auto-379865e6","workId":"","name":"Монтаж статического колонного и емкостного оборудования","unit":"т","kq1":"","kq2":"KQ-27-02","stableKey":"auto-598d25d1","plannedQuantity":133.08,"scheduleQuantity":95.28,"volumes":[51.28,20.08,9.65,1.14,0.24,0,0,5.04,0,4.38,3.47,0],"matchRule":"exact","matchConfidence":1,"contractRate":1458.1691406042196,"currentRate":0,"actualRate":0,"rate":1458.1691406042196},{"sourceKind":"ksg","sourceRow":52,"sourceKey":"auto-a2456d56","workId":"","name":"Монтаж динамического колонного и емкостного оборудования","unit":"т","kq1":"","kq2":"KQ-27-03","stableKey":"auto-cf3b42c6","plannedQuantity":13.11,"scheduleQuantity":2.21,"volumes":[0,0,1.46,0,0,0,0,0.75,0,0,0,0],"matchRule":"exact","matchConfidence":1,"contractRate":585.6408851929096,"currentRate":0,"actualRate":0,"rate":585.6408851929096},{"sourceKind":"ksg","sourceRow":53,"sourceKey":"auto-10c8ff18","workId":"","name":"Монтаж теплообменников, холодильников и пароводяных подогревателей","unit":"т","kq1":"","kq2":"KQ-27-04","stableKey":"auto-689d51cd","plannedQuantity":47.74,"scheduleQuantity":47.739999999999995,"volumes":[19.98,13.68,3.29,9.81,0.98,0,0,0,0,0,0,0],"matchRule":"exact","matchConfidence":1,"contractRate":2452.660065582938,"currentRate":0,"actualRate":0,"rate":2452.660065582938},{"sourceKind":"ksg","sourceRow":54,"sourceKey":"auto-95a3a8b4","workId":"","name":"Монтаж блочных и комплектных установок","unit":"т","kq1":"","kq2":"KQ-27-05","stableKey":"auto-fec7646a","plannedQuantity":599.9,"scheduleQuantity":599.9100000000001,"volumes":[33.21,99.06,16.01,155.27,5.39,52.75,78.67,24.41333333333333,63.903333333333336,62.483333333333334,8.75,0],"matchRule":"exact","matchConfidence":1,"contractRate":3649.9857390280918,"currentRate":0,"actualRate":0,"rate":3649.9857390280918},{"sourceKind":"ksg","sourceRow":55,"sourceKey":"auto-f15f6851","workId":"","name":"Монтаж градирен","unit":"т","kq1":"","kq2":"KQ-27-10","stableKey":"auto-65656144","plannedQuantity":27.84,"scheduleQuantity":27.84,"volumes":[0,0,0,0,0,0,0,0,1.44,9.72,9,7.68],"matchRule":"exact","matchConfidence":1,"contractRate":2452.2758508749253,"currentRate":0,"actualRate":0,"rate":2452.2758508749253},{"sourceKind":"ksg","sourceRow":57,"sourceKey":"auto-f7aa4d30","workId":"","name":"Монтаж насосов","unit":"т","kq1":"","kq2":"KQ-27-13","stableKey":"auto-69e24529","plannedQuantity":51.01,"scheduleQuantity":47.44,"volumes":[11.4,0,5.09,0,1.9,5.84,23.21,0,0,0,0,0],"matchRule":"exact","matchConfidence":1,"contractRate":4899.223958368099,"currentRate":0,"actualRate":0,"rate":4899.223958368099},{"sourceKind":"ksg","sourceRow":58,"sourceKey":"auto-592fdc62","workId":"","name":"Монтаж механических фильтров и циклонов","unit":"т","kq1":"","kq2":"KQ-27-14","stableKey":"auto-8c113199","plannedQuantity":14.99,"scheduleQuantity":12.15,"volumes":[1.14,10.34,0.67,0,0,0,0,0,0,0,0,0],"matchRule":"exact","matchConfidence":1,"contractRate":2717.9117588112936,"currentRate":0,"actualRate":0,"rate":2717.9117588112936},{"sourceKind":"ksg","sourceRow":59,"sourceKey":"auto-a6476c94","workId":"","name":"Монтаж ВКУ технологического оборудования","unit":"т","kq1":"","kq2":"KQ-27-19","stableKey":"auto-ad0edfca","plannedQuantity":3.42,"scheduleQuantity":3.42,"volumes":[0,0,0,0,1.82,0,0,1.6,0,0,0,0],"matchRule":"exact","matchConfidence":1,"contractRate":14932.473344560172,"currentRate":0,"actualRate":0,"rate":14932.473344560172},{"sourceKind":"ksg","sourceRow":60,"sourceKey":"auto-049aa302","workId":"","name":"Монтаж грузоподъемного оборудования","unit":"шт.","kq1":"","kq2":"KQ-28-01","stableKey":"auto-c139fb77","plannedQuantity":20,"scheduleQuantity":20,"volumes":[0,0,0,0,0,0,0,14.28,5.72,0,0,0],"matchRule":"exact","matchConfidence":1,"contractRate":10482.925163291258,"currentRate":0,"actualRate":0,"rate":10482.925163291258},{"sourceKind":"ksg","sourceRow":62,"sourceKey":"auto-be95485f","workId":"","name":"Сварка технологических трубопроводов (черн. стали)","unit":"DI","kq1":"","kq2":"KQ-32-01","stableKey":"auto-c10d2dae","plannedQuantity":33998.31,"scheduleQuantity":29132.44,"volumes":[0,0,0,61.51,315.81,602.47,2738.83,3436.06,5925.43,6304,5198.92,4549.41],"matchRule":"exact","matchConfidence":1,"contractRate":158.23673819290477,"currentRate":0,"actualRate":0,"rate":158.23673819290477},{"sourceKind":"ksg","sourceRow":63,"sourceKey":"auto-5b23ee34","workId":"","name":"Монтаж технологических трубопроводов обвязки этажерок и структур (стальные)","unit":"м","kq1":"","kq2":"KQ-33-01","stableKey":"auto-a0558f66","plannedQuantity":32995.4,"scheduleQuantity":26919.370000000003,"volumes":[0,0,0,0,471.52,1955.43,2003.99,2134.58,3401.38,5662.71,5770.54,5519.22],"matchRule":"exact","matchConfidence":1,"contractRate":180.7700561307037,"currentRate":0,"actualRate":0,"rate":180.7700561307037,"originalKq2":"KQ-33-01","rateSource":"KQ KQ-33-01 × 50%"},{"sourceKind":"ksg","sourceRow":64,"sourceKey":"auto-1b97a0bb","workId":"","name":"Монтаж опор технологических трубопроводов","unit":"т","kq1":"","kq2":"KQ-33-06","stableKey":"auto-bb932eb4","plannedQuantity":57.83,"scheduleQuantity":33.25,"volumes":[0,0,0,0,0.07,0,0,1.61,4.68,4.91,7.9,14.08],"matchRule":"exact","matchConfidence":1,"contractRate":20340.94126598641,"currentRate":0,"actualRate":0,"rate":20340.94126598641},{"sourceKind":"ksg","sourceRow":65,"sourceKey":"auto-52119812","workId":"","name":"Монтаж арматуры технологических трубопроводов","unit":"шт.","kq1":"","kq2":"KQ-33-07","stableKey":"auto-13df87be","plannedQuantity":7250,"scheduleQuantity":4307.0599999999995,"volumes":[0,0,0,0,0,0,0,20.06,439.71,1050.3,1222.8,1574.19],"matchRule":"exact","matchConfidence":1,"contractRate":391.133611508341,"currentRate":0,"actualRate":0,"rate":391.133611508341},{"sourceKind":"ksg","sourceRow":66,"sourceKey":"auto-01c06dc3","workId":"","name":"Резьбовые соединения технологических трубопроводов","unit":"DI","kq1":"","kq2":"KQ-33-08","stableKey":"auto-823cdba6","plannedQuantity":156,"scheduleQuantity":156,"volumes":[0,0,0,0,0,0,0,0,156,0,0,0],"matchRule":"exact","matchConfidence":1,"contractRate":75.77903863129028,"currentRate":0,"actualRate":0,"rate":75.77903863129028},{"sourceKind":"ksg","sourceRow":69,"sourceKey":"auto-5e9766fd","workId":"","name":"Очистка и промывка технологических трубопроводов","unit":"м","kq1":"","kq2":"KQ-33-01","stableKey":"auto-78256df0","plannedQuantity":32301.39,"scheduleQuantity":21608.629999999997,"volumes":[0,0,0,0,0,0,0,457.94,2855.84,5562.72,6107.69,6624.44],"matchRule":"exact","matchConfidence":0,"contractRate":72.30802245228149,"currentRate":0,"actualRate":0,"rate":72.30802245228149,"originalKq2":"KQ-33-11","rateSource":"KQ KQ-33-01 × 20%"},{"sourceKind":"ksg","sourceRow":70,"sourceKey":"auto-1781b1a2","workId":"","name":"Обратная сборка технологических трубопроводов","unit":"м","kq1":"","kq2":"KQ-33-01","stableKey":"auto-d77d4e3a","plannedQuantity":32306.65,"scheduleQuantity":20539.83,"volumes":[0,0,0,0,0,0,0,179.48,2612.06,5385.11,6053.25,6309.93],"matchRule":"exact","matchConfidence":0,"contractRate":108.46203367842223,"currentRate":0,"actualRate":0,"rate":108.46203367842223,"originalKq2":"KQ-33-12","rateSource":"KQ KQ-33-01 × 30%"},{"sourceKind":"ksg","sourceRow":71,"sourceKey":"auto-70dd76cc","workId":"","name":"Монтаж стальных трубопроводов теплых полов технологических зон","unit":"м","kq1":"","kq2":"KQ-34-03","stableKey":"auto-98d8e61d","plannedQuantity":5159.2,"scheduleQuantity":5041.79,"volumes":[0,0,1758.24,1292.7,672,352.04,0,524.69,432.12,10,0,0],"matchRule":"exact","matchConfidence":1,"contractRate":108.91575037066414,"currentRate":0,"actualRate":0,"rate":108.91575037066414},{"sourceKind":"ksg","sourceRow":72,"sourceKey":"auto-32516916","workId":"","name":"Неразрушающий контроль стыков (РК)","unit":"стык","kq1":"","kq2":"KQ-35-01","stableKey":"auto-cb8b6838","plannedQuantity":55621.7,"scheduleQuantity":43894.11,"volumes":[0,0,0,0,0,4376.99,2461.67,1661.78,6282.16,9413.86,9143.17,10554.48],"matchRule":"exact","matchConfidence":1,"contractRate":93.65661379672338,"currentRate":0,"actualRate":0,"rate":93.65661379672338},{"sourceKind":"ksg","sourceRow":73,"sourceKey":"auto-f126d208","workId":"","name":"Неразрушающий контроль стыков (все виды, кроме РК)","unit":"стык","kq1":"","kq2":"KQ-35-02","stableKey":"auto-38cabb87","plannedQuantity":85,"scheduleQuantity":42,"volumes":[0,0,0,0,0,0,0,0,24,1,12,5],"matchRule":"exact","matchConfidence":1,"contractRate":65.12830389444824,"currentRate":0,"actualRate":0,"rate":65.12830389444824},{"sourceKind":"ksg","sourceRow":75,"sourceKey":"auto-d7fa1903","workId":"","name":"ОГЗ металлоконструкций (окрасочная)","unit":"м2","kq1":"","kq2":"KQ-37-02","stableKey":"auto-c2d1f0b8","plannedQuantity":5189.94,"scheduleQuantity":3008.5924999999997,"volumes":[2300.69,314.16,0,0,0,0,0,131.2475,131.2475,131.2475,0,0],"matchRule":"exact","matchConfidence":1,"contractRate":836.4704645800064,"currentRate":0,"actualRate":0,"rate":836.4704645800064},{"sourceKind":"ksg","sourceRow":76,"sourceKey":"auto-73efc12b","workId":"","name":"АКЗ трубопроводов","unit":"м2","kq1":"","kq2":"KQ-38-02","stableKey":"auto-e963e9db","plannedQuantity":10048.39,"scheduleQuantity":3385.17,"volumes":[0,0,311.68,383.64,158.96,0,0,47.08,251.86,11.52,1395.26,825.17],"matchRule":"exact","matchConfidence":1,"contractRate":102.86106468358507,"currentRate":0,"actualRate":0,"rate":102.86106468358507},{"sourceKind":"ksg","sourceRow":77,"sourceKey":"auto-74a95bf3","workId":"","name":"АКЗ металлоконструкций","unit":"м2","kq1":"","kq2":"KQ-38-03","stableKey":"auto-a93205de","plannedQuantity":7550.27,"scheduleQuantity":3397.0499999999997,"volumes":[0,0,2.9,0,0,531.27,0,724.47,907.8233333333333,469.5333333333333,564.7433333333333,196.31],"matchRule":"exact","matchConfidence":1,"contractRate":215.75414471785402,"currentRate":0,"actualRate":0,"rate":215.75414471785402},{"sourceKind":"ksg","sourceRow":79,"sourceKey":"auto-4c9d2963","workId":"","name":"Опознавательная окраска трубопроводов и оборудования","unit":"м2","kq1":"","kq2":"KQ-38-05","stableKey":"auto-575d30d9","plannedQuantity":124.93,"scheduleQuantity":124.92999999999999,"volumes":[0,0,0,0,0,0,0,0,100.36,22.97,1.6,0],"matchRule":"exact","matchConfidence":1,"contractRate":142.69219952788288,"currentRate":0,"actualRate":0,"rate":142.69219952788288},{"sourceKind":"ksg","sourceRow":81,"sourceKey":"auto-ae5664a4","workId":"","name":"Тепловая изоляция технологических трубопроводов","unit":"м2","kq1":"","kq2":"KQ-40-02","stableKey":"auto-fbf2aa72","plannedQuantity":6444.81,"scheduleQuantity":787.19,"volumes":[0,0,0,0,0,0,0,20.2,337.42,59.66,49.29,320.62],"matchRule":"exact","matchConfidence":1,"contractRate":161.39097971583405,"currentRate":0,"actualRate":0,"rate":161.39097971583405},{"sourceKind":"ksg","sourceRow":84,"sourceKey":"auto-cabf772e","workId":"","name":"Холодоизоляция технологических трубопроводов (пеностеклом)","unit":"м2","kq1":"","kq2":"KQ-41-02","stableKey":"auto-25005522","plannedQuantity":932.69,"scheduleQuantity":7.52,"volumes":[0,0,0,0,0,0,0,0,3.53,3.99,0,0],"matchRule":"exact","matchConfidence":1,"contractRate":246.92625370302767,"currentRate":0,"actualRate":0,"rate":246.92625370302767},{"sourceKind":"ksg","sourceRow":87,"sourceKey":"auto-14b2c6ec","workId":"","name":"Изоляция запорной арматуры термочехлами","unit":"шт.","kq1":"","kq2":"KQ-43-01","stableKey":"auto-433ac785","plannedQuantity":44,"scheduleQuantity":44,"volumes":[0,0,0,0,0,0,0,0,4,13.48,14.52,12],"matchRule":"exact","matchConfidence":1,"contractRate":96.15741454249952,"currentRate":0,"actualRate":0,"rate":96.15741454249952},{"sourceKind":"ksg","sourceRow":88,"sourceKey":"auto-e4c2bb3e","workId":"","name":"Монтаж вспомогательных опорных металлоконструкций для кабеленесущих систем и оборудования ЭОМ и КИПиА","unit":"т","kq1":"","kq2":"KQ-44-01","stableKey":"auto-85d5ff46","plannedQuantity":14.05,"scheduleQuantity":13.86,"volumes":[0,0,0,0,0,0,1.89,5.5,2.2,2.77,1.49,0.01],"matchRule":"exact","matchConfidence":1,"contractRate":9268.199592513756,"currentRate":0,"actualRate":0,"rate":9268.199592513756},{"sourceKind":"ksg","sourceRow":89,"sourceKey":"auto-f7f1366a","workId":"","name":"Монтаж кабельных лотков","unit":"м","kq1":"","kq2":"KQ-45-01","stableKey":"auto-0d268162","plannedQuantity":30023.01,"scheduleQuantity":29726.989999999994,"volumes":[0,0,0,0,1006.02,1558.91,2710.73,4474.41,7926.066666666666,7055.666666666666,4621.596666666666,373.59],"matchRule":"exact","matchConfidence":1,"contractRate":85.15155759429163,"currentRate":0,"actualRate":0,"rate":85.15155759429163},{"sourceKind":"ksg","sourceRow":90,"sourceKey":"auto-f202a3b1","workId":"","name":"Монтаж стальных кабелепроводов","unit":"м","kq1":"","kq2":"KQ-45-02","stableKey":"auto-8b7740a6","plannedQuantity":804.82,"scheduleQuantity":789.81,"volumes":[0,0,0,0,0,0,0,594.64,185.17,0,10,0],"matchRule":"exact","matchConfidence":1,"contractRate":21.351702266069385,"currentRate":0,"actualRate":0,"rate":21.351702266069385},{"sourceKind":"ksg","sourceRow":92,"sourceKey":"auto-94514a01","workId":"","name":"Монтаж пластиковых коробов","unit":"м","kq1":"","kq2":"KQ-46-01","stableKey":"auto-b0e51824","plannedQuantity":1,"scheduleQuantity":1,"volumes":[0,0,0,0,0,0,0,1,0,0,0,0],"matchRule":"exact","matchConfidence":1,"contractRate":92.3940993805626,"currentRate":0,"actualRate":0,"rate":92.3940993805626},{"sourceKind":"ksg","sourceRow":93,"sourceKey":"auto-babc0c7f","workId":"","name":"Монтаж металлорукавов","unit":"м","kq1":"","kq2":"KQ-46-02","stableKey":"auto-17426b35","plannedQuantity":16843.86,"scheduleQuantity":16632.86,"volumes":[0,0,0,0,0,54.04,108.07,6814.47,6065.28,1096,2427,68],"matchRule":"exact","matchConfidence":1,"contractRate":15.330137062089099,"currentRate":0,"actualRate":0,"rate":15.330137062089099},{"sourceKind":"ksg","sourceRow":94,"sourceKey":"auto-5a1a2b80","workId":"","name":"Монтаж полимерных труб и гофр","unit":"м","kq1":"","kq2":"KQ-46-03","stableKey":"auto-73cff391","plannedQuantity":162,"scheduleQuantity":162,"volumes":[0,0,0,0,0,0,0,12,0,150,0,0],"matchRule":"exact","matchConfidence":1,"contractRate":49.10398746769686,"currentRate":0,"actualRate":0,"rate":49.10398746769686},{"sourceKind":"ksg","sourceRow":95,"sourceKey":"auto-66277ec1","workId":"","name":"Монтаж кабеля КИПиА","unit":"м","kq1":"","kq2":"KQ-48-01","stableKey":"auto-4f691479","plannedQuantity":316379,"scheduleQuantity":284446.73000000004,"volumes":[0,0,0,0,0,25,7321.98,34126.52,61275.89,65529.25,61263.89,54904.2],"matchRule":"exact","matchConfidence":1,"contractRate":15.138324995255855,"currentRate":0,"actualRate":0,"rate":15.138324995255855},{"sourceKind":"ksg","sourceRow":96,"sourceKey":"auto-d7812e19","workId":"","name":"Монтаж оптического кабеля","unit":"м","kq1":"","kq2":"KQ-48-02","stableKey":"auto-4ec35368","plannedQuantity":11131,"scheduleQuantity":10364.22,"volumes":[0,0,0,0,0,0,0,2785,3860,808,175,2736.22],"matchRule":"exact","matchConfidence":1,"contractRate":20.413787866340463,"currentRate":0,"actualRate":0,"rate":20.413787866340463},{"sourceKind":"ksg","sourceRow":97,"sourceKey":"auto-37ae3141","workId":"","name":"Монтаж и подключение патч-кордов","unit":"м","kq1":"","kq2":"KQ-48-03","stableKey":"auto-77fa8157","plannedQuantity":318.5,"scheduleQuantity":186,"volumes":[0,0,0,0,0,0,0,1,7,2,24,152],"matchRule":"exact","matchConfidence":1,"contractRate":13.313679612057742,"currentRate":0,"actualRate":0,"rate":13.313679612057742},{"sourceKind":"ksg","sourceRow":98,"sourceKey":"auto-6da2bfb5","workId":"","name":"Расключение кабеля КИПиА","unit":"шт. (конец кабеля)","kq1":"","kq2":"KQ-48-04","stableKey":"auto-1b7e2a92","plannedQuantity":9208,"scheduleQuantity":4615.3099999999995,"volumes":[0,0,0,0,0,10,194.85,10.53,360.33,297.35,1358.01,2384.24],"matchRule":"exact","matchConfidence":1,"contractRate":141.735047833972,"currentRate":0,"actualRate":0,"rate":141.735047833972},{"sourceKind":"ksg","sourceRow":99,"sourceKey":"auto-a54debd2","workId":"","name":"Расключение оптического кабеля","unit":"шт. (конец кабеля)","kq1":"","kq2":"KQ-48-05","stableKey":"auto-eeb14f7d","plannedQuantity":247,"scheduleQuantity":96.52,"volumes":[0,0,0,0,0,0,0,0.33,53.32,10.68,12,20.19],"matchRule":"exact","matchConfidence":1,"contractRate":1278.1427321083181,"currentRate":0,"actualRate":0,"rate":1278.1427321083181},{"sourceKind":"ksg","sourceRow":100,"sourceKey":"auto-51e338b5","workId":"","name":"Монтаж силового кабеля до 1 кВ","unit":"м","kq1":"","kq2":"KQ-49-01","stableKey":"auto-f9b1607d","plannedQuantity":97842.3,"scheduleQuantity":74940.63,"volumes":[0,0,0,0,29.01,6977.11,6330.98,6044.265,8266,15683.27,15421.33,16188.665],"matchRule":"exact","matchConfidence":1,"contractRate":13.883685550361719,"currentRate":0,"actualRate":0,"rate":13.883685550361719},{"sourceKind":"ksg","sourceRow":101,"sourceKey":"auto-beae802d","workId":"","name":"Монтаж силового кабеля от 1 до 35 кВ","unit":"м","kq1":"","kq2":"KQ-49-02","stableKey":"auto-17c64986","plannedQuantity":1543.68,"scheduleQuantity":1543.6799999999998,"volumes":[0,0,0,0,0,0,0,229.38,1314.3,0,0,0],"matchRule":"exact","matchConfidence":1,"contractRate":24.682871709083038,"currentRate":0,"actualRate":0,"rate":24.682871709083038},{"sourceKind":"ksg","sourceRow":102,"sourceKey":"auto-530eea20","workId":"","name":"Расключение силового кабеля до 1 кВ","unit":"шт. (конец кабеля)","kq1":"","kq2":"KQ-49-04","stableKey":"auto-01e1e89c","plannedQuantity":9090,"scheduleQuantity":8966,"volumes":[0,0,0,0,0,0,3.06,1475.7,3862.84,1147.4,412.59,2064.41],"matchRule":"exact","matchConfidence":1,"contractRate":61.718753384787625,"currentRate":0,"actualRate":0,"rate":61.718753384787625},{"sourceKind":"ksg","sourceRow":103,"sourceKey":"auto-e30c3b82","workId":"","name":"Расключение силового кабеля от 1 до 35 кВ","unit":"шт. (конец кабеля)","kq1":"","kq2":"KQ-49-05","stableKey":"auto-963374e1","plannedQuantity":16,"scheduleQuantity":16,"volumes":[0,0,0,0,0,0,0,4,12,0,0,0],"matchRule":"exact","matchConfidence":1,"contractRate":332.23953201185446,"currentRate":0,"actualRate":0,"rate":332.23953201185446},{"sourceKind":"ksg","sourceRow":104,"sourceKey":"auto-c0925a88","workId":"","name":"Монтаж греющего кабеля","unit":"м","kq1":"","kq2":"KQ-50-01","stableKey":"auto-9b4803a6","plannedQuantity":17842,"scheduleQuantity":1113,"volumes":[0,0,0,0,0,0,0,0,0,0,0,1113],"matchRule":"exact","matchConfidence":1,"contractRate":10.551746007955652,"currentRate":0,"actualRate":0,"rate":10.551746007955652},{"sourceKind":"ksg","sourceRow":105,"sourceKey":"auto-0afa111a","workId":"","name":"Расключение греющего кабеля","unit":"шт. (конец кабеля)","kq1":"","kq2":"KQ-50-02","stableKey":"auto-8eb44d5f","plannedQuantity":1526,"scheduleQuantity":146,"volumes":[0,0,0,0,0,0,0,0,0,0,0,146],"matchRule":"exact","matchConfidence":1,"contractRate":42.565761483971635,"currentRate":0,"actualRate":0,"rate":42.565761483971635},{"sourceKind":"ksg","sourceRow":106,"sourceKey":"auto-2e13bc8d","workId":"","name":"Монтаж проводника заземления (провод)","unit":"м","kq1":"","kq2":"KQ-51-01","stableKey":"auto-7b0989df","plannedQuantity":7417.85,"scheduleQuantity":6927.85,"volumes":[0,0,0,0,0,44.97,57.03,1817.02,2780.81,1228.02,689,311],"matchRule":"exact","matchConfidence":1,"contractRate":33.897024393933506,"currentRate":0,"actualRate":0,"rate":33.897024393933506},{"sourceKind":"ksg","sourceRow":107,"sourceKey":"auto-a7dbcac3","workId":"","name":"Монтаж проводника заземления (полоса)","unit":"м","kq1":"","kq2":"KQ-51-02","stableKey":"auto-40ad0cba","plannedQuantity":3476.68,"scheduleQuantity":3357.6,"volumes":[0,212.01,772.64,245.92,79,174.35,103.55,437.57,239.98,437.57,437.57,217.44],"matchRule":"exact","matchConfidence":1,"contractRate":12.116605865375828,"currentRate":0,"actualRate":0,"rate":12.116605865375828},{"sourceKind":"ksg","sourceRow":109,"sourceKey":"auto-3821d741","workId":"","name":"Монтаж ИБП","unit":"шт.","kq1":"","kq2":"KQ-55-01","stableKey":"auto-7b7fd9f2","plannedQuantity":9,"scheduleQuantity":6,"volumes":[0,0,0,0,0,0,0,1,4,0,0,1],"matchRule":"exact","matchConfidence":1,"contractRate":4342.707726361559,"currentRate":0,"actualRate":0,"rate":4342.707726361559},{"sourceKind":"ksg","sourceRow":111,"sourceKey":"auto-1f77a7b8","workId":"","name":"Монтаж осветительных приборов внутреннего исполнения (штучные)","unit":"шт.","kq1":"","kq2":"KQ-56-02","stableKey":"auto-55d0207d","plannedQuantity":248,"scheduleQuantity":238,"volumes":[0,0,0,0,0,0,0,51,129,0,0,58],"matchRule":"exact","matchConfidence":1,"contractRate":18.803837820768617,"currentRate":0,"actualRate":0,"rate":18.803837820768617},{"sourceKind":"ksg","sourceRow":112,"sourceKey":"auto-5527280d","workId":"","name":"Монтаж малых силовых шкафов","unit":"шт.","kq1":"","kq2":"KQ-57-01","stableKey":"auto-0b81602b","plannedQuantity":87,"scheduleQuantity":83,"volumes":[0,0,0,0,1,0,0,38,8,0,0,36],"matchRule":"exact","matchConfidence":1,"contractRate":169.15606209984324,"currentRate":0,"actualRate":0,"rate":169.15606209984324},{"sourceKind":"ksg","sourceRow":113,"sourceKey":"auto-13f07d20","workId":"","name":"Монтаж силовых шкафов электрообогрева","unit":"шт.","kq1":"","kq2":"KQ-57-02","stableKey":"auto-a954b4e3","plannedQuantity":6,"scheduleQuantity":5.83,"volumes":[0,0,0,0,0,0,0,0,0,0,0,5.83],"matchRule":"exact","matchConfidence":1,"contractRate":2129.915730952095,"currentRate":0,"actualRate":0,"rate":2129.915730952095},{"sourceKind":"ksg","sourceRow":114,"sourceKey":"auto-9b02d59c","workId":"","name":"Монтаж щитового оборудования РУ, ВРУ","unit":"шт.","kq1":"","kq2":"KQ-57-03","stableKey":"auto-3260498c","plannedQuantity":60,"scheduleQuantity":60.01,"volumes":[0,0,0,0,0,0,6.67,17.72,33.62,0,0,2],"matchRule":"exact","matchConfidence":1,"contractRate":1805.3442281680416,"currentRate":0,"actualRate":0,"rate":1805.3442281680416},{"sourceKind":"ksg","sourceRow":115,"sourceKey":"auto-53a059d5","workId":"","name":"Монтаж щитового оборудования КИПиА","unit":"шт.","kq1":"","kq2":"KQ-58-01","stableKey":"auto-277dc6cc","plannedQuantity":116,"scheduleQuantity":114.99000000000001,"volumes":[0,0,0,0,0,0,11,0,13,0,37.4,53.59],"matchRule":"exact","matchConfidence":1,"contractRate":1599.3600915111508,"currentRate":0,"actualRate":0,"rate":1599.3600915111508},{"sourceKind":"ksg","sourceRow":117,"sourceKey":"auto-732d3692","workId":"","name":"Монтаж оконечных и распределительных устройств силовых сетей","unit":"шт.","kq1":"","kq2":"KQ-59-01","stableKey":"auto-3e3016bc","plannedQuantity":3185,"scheduleQuantity":1502.25,"volumes":[0,0,0,0,0,0,0,297.62,559.38,500,2,143.25],"matchRule":"exact","matchConfidence":1,"contractRate":91.42906469212689,"currentRate":0,"actualRate":0,"rate":91.42906469212689},{"sourceKind":"ksg","sourceRow":118,"sourceKey":"auto-1964f89d","workId":"","name":"Монтаж оконечных и распределительных устройств слаботочных сетей","unit":"шт.","kq1":"","kq2":"KQ-59-02","stableKey":"auto-59e7d61e","plannedQuantity":601,"scheduleQuantity":268,"volumes":[0,0,0,0,0,0,0.97,6.58,29.42,38,153,40.03],"matchRule":"exact","matchConfidence":1,"contractRate":63.49215477871519,"currentRate":0,"actualRate":0,"rate":63.49215477871519},{"sourceKind":"ksg","sourceRow":119,"sourceKey":"auto-52f35e97","workId":"","name":"Монтаж приборов КИПиА","unit":"шт.","kq1":"","kq2":"KQ-60-01","stableKey":"auto-1a3aa973","plannedQuantity":1120,"scheduleQuantity":260,"volumes":[0,0,0,0,0,2,4,2,0,19,102.79,130.21],"matchRule":"exact","matchConfidence":1,"contractRate":339.40089810142786,"currentRate":0,"actualRate":0,"rate":339.40089810142786},{"sourceKind":"ksg","sourceRow":120,"sourceKey":"auto-dc503240","workId":"","name":"Монтаж импульсных трубок","unit":"м","kq1":"","kq2":"KQ-60-02","stableKey":"auto-35e6164a","plannedQuantity":6083,"scheduleQuantity":1697,"volumes":[0,0,0,0,0,0,0,0,6,51,130,1510],"matchRule":"exact","matchConfidence":1,"contractRate":16.07556380894246,"currentRate":0,"actualRate":0,"rate":16.07556380894246},{"sourceKind":"ksg","sourceRow":121,"sourceKey":"auto-68416924","workId":"","name":"Монтаж приборов охранно-пожарной сигнализации, оповещения и связи","unit":"шт.","kq1":"","kq2":"KQ-60-03","stableKey":"auto-b115169d","plannedQuantity":793,"scheduleQuantity":476,"volumes":[0,0,0,0,0,0,0,0,0,380,96,0],"matchRule":"exact","matchConfidence":1,"contractRate":105.82347256683774,"currentRate":0,"actualRate":0,"rate":105.82347256683774},{"sourceKind":"ksg","sourceRow":122,"sourceKey":"auto-8d0a9988","workId":"","name":"Монтаж оборудования оповещения и связи","unit":"шт.","kq1":"","kq2":"KQ-60-04","stableKey":"auto-79f94e98","plannedQuantity":60,"scheduleQuantity":35,"volumes":[0,0,0,0,0,0,0,4,0,14,9,8],"matchRule":"exact","matchConfidence":1,"contractRate":204.04558245797935,"currentRate":0,"actualRate":0,"rate":204.04558245797935},{"sourceKind":"ksg","sourceRow":123,"sourceKey":"auto-7eaba52a","workId":"","name":"Монтаж оборудования видеонаблюдения","unit":"шт.","kq1":"","kq2":"KQ-60-05","stableKey":"auto-79a9724d","plannedQuantity":24,"scheduleQuantity":24,"volumes":[0,0,0,0,0,0,0,2,14,0,4,4],"matchRule"</t>
        </is>
      </c>
    </row>
    <row r="4">
      <c r="A4" t="inlineStr">
        <is>
          <t>:"exact","matchConfidence":1,"contractRate":135.50946974107168,"currentRate":0,"actualRate":0,"rate":135.50946974107168},{"sourceKind":"ksg","sourceRow":124,"sourceKey":"auto-f76ee086","workId":"","name":"Монтаж мультимедийного оборудования и оргтехники","unit":"шт.","kq1":"","kq2":"KQ-60-07","stableKey":"auto-a2d83474","plannedQuantity":40,"scheduleQuantity":13,"volumes":[0,0,0,0,0,0,0,0,0,1,3,9],"matchRule":"exact","matchConfidence":1,"contractRate":975.6389677708105,"currentRate":0,"actualRate":0,"rate":975.6389677708105},{"sourceKind":"ksg","sourceRow":125,"sourceKey":"auto-8f2142cd","workId":"","name":"Монтаж основного вентиляционного оборудования","unit":"шт.","kq1":"","kq2":"KQ-61-01","stableKey":"auto-cd598dc8","plannedQuantity":43,"scheduleQuantity":11,"volumes":[0,0,0,0,0,0,0,0,0,1,10,0],"matchRule":"exact","matchConfidence":1,"contractRate":1541.4807402512588,"currentRate":0,"actualRate":0,"rate":1541.4807402512588},{"sourceKind":"ksg","sourceRow":126,"sourceKey":"auto-dbef6264","workId":"","name":"Монтаж основного оборудования кондиционирования","unit":"шт.","kq1":"","kq2":"KQ-61-02","stableKey":"auto-61797ef8","plannedQuantity":7,"scheduleQuantity":7,"volumes":[0,0,0,0,0,0,0,0,0,5.98,1.02,0],"matchRule":"exact","matchConfidence":1,"contractRate":5202.81570173899,"currentRate":0,"actualRate":0,"rate":5202.81570173899},{"sourceKind":"ksg","sourceRow":127,"sourceKey":"auto-1d311732","workId":"","name":"Монтаж воздуховодов","unit":"м2","kq1":"","kq2":"KQ-62-01","stableKey":"auto-fd0fd071","plannedQuantity":3193.32,"scheduleQuantity":761.36,"volumes":[0,0,0,0,0,0,34.04,156.5,254.27,93.59,222.96,0],"matchRule":"exact","matchConfidence":1,"contractRate":125.42613466501194,"currentRate":0,"actualRate":0,"rate":125.42613466501194},{"sourceKind":"ksg","sourceRow":128,"sourceKey":"auto-9da55494","workId":"","name":"Монтаж вентиляционных клапанов и заслонок","unit":"шт.","kq1":"","kq2":"KQ-62-02","stableKey":"auto-f7115d1e","plannedQuantity":195,"scheduleQuantity":90,"volumes":[0,0,0,0,0,0,1,0,4,0,85,0],"matchRule":"exact","matchConfidence":1,"contractRate":112.14561637921601,"currentRate":0,"actualRate":0,"rate":112.14561637921601},{"sourceKind":"ksg","sourceRow":129,"sourceKey":"auto-08b372ea","workId":"","name":"Монтаж оконечных устройств воздухораспределения","unit":"шт.","kq1":"","kq2":"KQ-62-03","stableKey":"auto-cf90aaf3","plannedQuantity":232,"scheduleQuantity":73,"volumes":[0,0,0,0,0,0,0,0,19,0,7,47],"matchRule":"exact","matchConfidence":1,"contractRate":136.47985418260646,"currentRate":0,"actualRate":0,"rate":136.47985418260646},{"sourceKind":"ksg","sourceRow":130,"sourceKey":"auto-3a1fd4f1","workId":"","name":"Тепловая изоляция воздуховодов","unit":"м2","kq1":"","kq2":"KQ-62-05","stableKey":"auto-b611a2bc","plannedQuantity":429.19,"scheduleQuantity":339.19,"volumes":[0,0,0,0,0,0,0,0,150,0,189.19,0],"matchRule":"exact","matchConfidence":1,"contractRate":102.62774024703354,"currentRate":0,"actualRate":0,"rate":102.62774024703354},{"sourceKind":"ksg","sourceRow":131,"sourceKey":"auto-bb8b8841","workId":"","name":"Монтаж блочных тепловых пунктов","unit":"компл.","kq1":"","kq2":"KQ-63-01","stableKey":"auto-6fbcbab3","plannedQuantity":1,"scheduleQuantity":1,"volumes":[0,0,0,0,0,0,0,1,0,0,0,0],"matchRule":"exact","matchConfidence":1,"contractRate":2307.515191254119,"currentRate":0,"actualRate":0,"rate":2307.515191254119},{"sourceKind":"ksg","sourceRow":132,"sourceKey":"auto-7fd07dd1","workId":"","name":"Монтаж противопожарного оборудования","unit":"шт.","kq1":"","kq2":"KQ-63-06","stableKey":"auto-418f514a","plannedQuantity":25.4,"scheduleQuantity":3,"volumes":[0,0,0,0,0,0,0,2,1,0,0,0],"matchRule":"exact","matchConfidence":1,"contractRate":0,"currentRate":0,"actualRate":0,"rate":0},{"sourceKind":"ksg","sourceRow":133,"sourceKey":"auto-842124b6","workId":"","name":"Монтаж устройств пожаротушения","unit":"шт.","kq1":"","kq2":"KQ-63-07","stableKey":"auto-e0ff0a32","plannedQuantity":444,"scheduleQuantity":104,"volumes":[0,0,0,0,0,0,0,1,70,33,0,0],"matchRule":"exact","matchConfidence":1,"contractRate":112.40982466300838,"currentRate":0,"actualRate":0,"rate":112.40982466300838},{"sourceKind":"ksg","sourceRow":134,"sourceKey":"auto-a6a733aa","workId":"","name":"Монтаж пластиковых трубопроводов внутренних инженерных сетей","unit":"м","kq1":"","kq2":"KQ-64-01","stableKey":"auto-1ebc70e3","plannedQuantity":121.09,"scheduleQuantity":121.09,"volumes":[0,0,0,0,42,0,0,0,0,39.22,16.87,23],"matchRule":"exact","matchConfidence":1,"contractRate":120.93260538414012,"currentRate":0,"actualRate":0,"rate":120.93260538414012},{"sourceKind":"ksg","sourceRow":135,"sourceKey":"auto-afb1d7c6","workId":"","name":"Монтаж стальных трубопроводов внутренних инженерных сетей","unit":"м","kq1":"","kq2":"KQ-64-02","stableKey":"auto-1dac18e8","plannedQuantity":1523.48,"scheduleQuantity":183.48000000000002,"volumes":[0,0,0,0,0,0,0,0,0,9.4,42.53,131.55],"matchRule":"exact","matchConfidence":1,"contractRate":188.49383664771455,"currentRate":0,"actualRate":0,"rate":188.49383664771455},{"sourceKind":"ksg","sourceRow":136,"sourceKey":"auto-25e53593","workId":"","name":"Монтаж запорно-регулирующей и распределительной арматуры внутр. инженерных сетей","unit":"шт.","kq1":"","kq2":"KQ-64-05","stableKey":"auto-1fbc5228","plannedQuantity":429,"scheduleQuantity":124,"volumes":[0,0,0,0,0,0,0,15,15,18,4,72],"matchRule":"exact","matchConfidence":1,"contractRate":408.21731600457287,"currentRate":0,"actualRate":0,"rate":408.21731600457287},{"sourceKind":"ksg","sourceRow":138,"sourceKey":"auto-484c1696","workId":"","name":"Монтаж радиаторов, конвекторов и регистров","unit":"шт.","kq1":"","kq2":"KQ-65-02","stableKey":"auto-b1113303","plannedQuantity":22,"scheduleQuantity":9,"volumes":[0,0,0,0,0,0,0,0,0,0,9,0],"matchRule":"exact","matchConfidence":1,"contractRate":142.9249787306926,"currentRate":0,"actualRate":0,"rate":142.9249787306926},{"sourceKind":"ksg","sourceRow":139,"sourceKey":"auto-8b07dee1","workId":"","name":"Монтаж дверей, люков и решеток","unit":"м2","kq1":"","kq2":"KQ-66-02","stableKey":"auto-342e906b","plannedQuantity":104.62,"scheduleQuantity":104.62,"volumes":[0,0,0,0,0,0,0,30.063333333333333,14.43,30.063333333333333,30.063333333333333,0],"matchRule":"exact","matchConfidence":1,"contractRate":579.1967443246075,"currentRate":0,"actualRate":0,"rate":579.1967443246075},{"sourceKind":"ksg","sourceRow":140,"sourceKey":"auto-363d9077","workId":"","name":"Монтаж ворот на зданиях","unit":"м2","kq1":"","kq2":"KQ-66-03","stableKey":"auto-ce4a5583","plannedQuantity":130.27,"scheduleQuantity":130.27,"volumes":[0,0,0,0,0,0,0,0,130.27,0,0,0],"matchRule":"exact","matchConfidence":1,"contractRate":668.4550169417147,"currentRate":0,"actualRate":0,"rate":668.4550169417147},{"sourceKind":"ksg","sourceRow":141,"sourceKey":"auto-957dc9cf","workId":"","name":"Монтаж кровли из профлиста","unit":"м2","kq1":"","kq2":"KQ-67-01","stableKey":"auto-5d20d828","plannedQuantity":761.56,"scheduleQuantity":761.56,"volumes":[0,0,0,0,0,0,0,253.85333333333332,253.85333333333332,253.85333333333332,0,0],"matchRule":"exact","matchConfidence":1,"contractRate":190.2984046046062,"currentRate":0,"actualRate":0,"rate":190.2984046046062},{"sourceKind":"ksg","sourceRow":142,"sourceKey":"auto-b2acc7ea","workId":"","name":"Утепление кровли","unit":"м3","kq1":"","kq2":"KQ-67-02","stableKey":"auto-57e5e800","plannedQuantity":908.22,"scheduleQuantity":908.21,"volumes":[0,0,0,0,0,0,0,175.51,631.49,101.21,0,0],"matchRule":"exact","matchConfidence":1,"contractRate":289.11009004989,"currentRate":0,"actualRate":0,"rate":289.11009004989},{"sourceKind":"ksg","sourceRow":143,"sourceKey":"auto-e28a1003","workId":"","name":"Устройство стяжки или цементно-стружечных плит на кровле","unit":"м2","kq1":"","kq2":"KQ-67-03","stableKey":"auto-83deccc6","plannedQuantity":2619.1,"scheduleQuantity":2619.09,"volumes":[0,0,0,0,0,0,0,5.26,743.12,1751.71,0,119],"matchRule":"exact","matchConfidence":1,"contractRate":98.7927908106425,"currentRate":0,"actualRate":0,"rate":98.7927908106425},{"sourceKind":"ksg","sourceRow":144,"sourceKey":"auto-11093679","workId":"","name":"Устройство покрытий кровли из ПВХ мембраны или наплавляемых материалов","unit":"м2","kq1":"","kq2":"KQ-67-04","stableKey":"auto-41b795bd","plannedQuantity":6098.22,"scheduleQuantity":6098.22,"volumes":[0,0,0,0,0,0,0,350.61,1436.9025,1436.9025,1436.9025,1436.9025],"matchRule":"exact","matchConfidence":1,"contractRate":41.96132846302087,"currentRate":0,"actualRate":0,"rate":41.96132846302087},{"sourceKind":"ksg","sourceRow":147,"sourceKey":"auto-f73bd5af","workId":"","name":"Устройство кровельной водосточной системы","unit":"м","kq1":"","kq2":"KQ-67-07","stableKey":"auto-f1e05c46","plannedQuantity":424,"scheduleQuantity":424,"volumes":[0,0,0,0,0,0,0,5.34,118,300.66,0,0],"matchRule":"exact","matchConfidence":1,"contractRate":57.12715970823146,"currentRate":0,"actualRate":0,"rate":57.12715970823146},{"sourceKind":"ksg","sourceRow":148,"sourceKey":"auto-f912bc7d","workId":"","name":"Устройство перильного ограждения кровли","unit":"м","kq1":"","kq2":"KQ-67-08","stableKey":"auto-6d6ef63d","plannedQuantity":49.02,"scheduleQuantity":49.02,"volumes":[0,0,0,0,0,0,0,0,49.02,0,0,0],"matchRule":"exact","matchConfidence":1,"contractRate":57.42203420039396,"currentRate":0,"actualRate":0,"rate":57.42203420039396},{"sourceKind":"ksg","sourceRow":149,"sourceKey":"auto-b5317ada","workId":"","name":"Облицовка стен профлистом","unit":"м2","kq1":"","kq2":"KQ-68-05","stableKey":"auto-4fc27f3d","plannedQuantity":42.84,"scheduleQuantity":42.84,"volumes":[0,0,0,0,0,0,0,42.84,0,0,0,0],"matchRule":"exact","matchConfidence":1,"contractRate":242.55959663016986,"currentRate":0,"actualRate":0,"rate":242.55959663016986},{"sourceKind":"ksg","sourceRow":150,"sourceKey":"auto-c99823c8","workId":"","name":"Утепление фасадов","unit":"м3","kq1":"","kq2":"KQ-68-02","stableKey":"auto-d5fa45c3","plannedQuantity":1.8,"scheduleQuantity":1.8,"volumes":[0,0,0,0,0,0,0,0.3,0,1.5,0,0],"matchRule":"exact","matchConfidence":1,"contractRate":504.07733735568615,"currentRate":0,"actualRate":0,"rate":504.07733735568615},{"sourceKind":"ksg","sourceRow":151,"sourceKey":"auto-407f9b5d","workId":"","name":"Устройство вентилируемых фасадов с облицовкой","unit":"м2","kq1":"","kq2":"KQ-68-03","stableKey":"auto-4c96423d","plannedQuantity":1891,"scheduleQuantity":1891,"volumes":[0,0,0,0,0,0,0,332.9,781.56,776.54,0,0],"matchRule":"exact","matchConfidence":1,"contractRate":150.19983822095634,"currentRate":0,"actualRate":0,"rate":150.19983822095634},{"sourceKind":"ksg","sourceRow":154,"sourceKey":"auto-57ba2ecc","workId":"","name":"Устройство декоративных фасадных конструкций","unit":"м2","kq1":"","kq2":"KQ-68-07","stableKey":"auto-8c7b024b","plannedQuantity":4,"scheduleQuantity":4,"volumes":[0,0,0,0,0,0,0,0,0,4,0,0],"matchRule":"exact","matchConfidence":1,"contractRate":215.82820104989435,"currentRate":0,"actualRate":0,"rate":215.82820104989435},{"sourceKind":"ksg","sourceRow":155,"sourceKey":"auto-b428012d","workId":"","name":"Кладка стен и перегородок","unit":"м3","kq1":"","kq2":"KQ-69-01","stableKey":"auto-929bba11","plannedQuantity":225.54,"scheduleQuantity":216.54,"volumes":[12.99,48.01,56.66,87.42,3.66,1.77,6.03,0,0,0,0,0],"matchRule":"exact","matchConfidence":1,"contractRate":593.9344302929561,"currentRate":0,"actualRate":0,"rate":593.9344302929561},{"sourceKind":"ksg","sourceRow":156,"sourceKey":"auto-73608f7d","workId":"","name":"Отделка стен","unit":"м2","kq1":"","kq2":"KQ-69-02","stableKey":"auto-d42fdda0","plannedQuantity":1826.5,"scheduleQuantity":1826.5,"volumes":[0,0,0,0,0,0,166.99,313.0366666666667,313.0366666666667,313.0366666666667,0,720.4],"matchRule":"exact","matchConfidence":1,"contractRate":138.05006799882244,"currentRate":0,"actualRate":0,"rate":138.05006799882244},{"sourceKind":"ksg","sourceRow":157,"sourceKey":"auto-de73275e","workId":"","name":"Устройство полов","unit":"м2","kq1":"","kq2":"KQ-69-03","stableKey":"auto-1880c90c","plannedQuantity":2606.97,"scheduleQuantity":2597.95,"volumes":[0,0,0,100.21,926.48,528.73,267.53,331.15,89.45,53.38,124.77,176.25],"matchRule":"exact","matchConfidence":1,"contractRate":913.231291851345,"currentRate":0,"actualRate":0,"rate":913.231291851345},{"sourceKind":"ksg","sourceRow":158,"sourceKey":"auto-3acc33da","workId":"","name":"Устройство потолков","unit":"м2","kq1":"","kq2":"KQ-69-04","stableKey":"auto-aace5045","plannedQuantity":979.44,"scheduleQuantity":979.44,"volumes":[0,0,0,0,0,0,0,141.17,279.42333333333335,279.42333333333335,279.42333333333335,0],"matchRule":"exact","matchConfidence":1,"contractRate":0,"currentRate":0,"actualRate":0,"rate":0},{"sourceKind":"ksg","sourceRow":160,"sourceKey":"auto-67adf04e","workId":"","name":"Устройство фальшпола","unit":"м2","kq1":"","kq2":"KQ-69-06","stableKey":"auto-8bece68c","plannedQuantity":301.6,"scheduleQuantity":301.59999999999997,"volumes":[0,0,0,0,0,0,0,64.8,74.13333333333334,74.13333333333334,74.13333333333334,14.4],"matchRule":"exact","matchConfidence":1,"contractRate":218.12757294753376,"currentRate":0,"actualRate":0,"rate":218.12757294753376},{"sourceKind":"ksg","sourceRow":162,"sourceKey":"auto-2825904b","workId":"","name":"Укладка геоматериалов","unit":"м2","kq1":"","kq2":"KQ-71-01","stableKey":"auto-42cb0c23","plannedQuantity":5561.1,"scheduleQuantity":5498.860000000001,"volumes":[0,0,0,0,1292.05,4206.81,0,0,0,0,0,0],"matchRule":"exact","matchConfidence":1,"contractRate":9.654216311079875,"currentRate":0,"actualRate":0,"rate":9.654216311079875},{"sourceKind":"ksg","sourceRow":163,"sourceKey":"auto-1a368d92","workId":"","name":"Устройство щебеночных оснований и покрытий","unit":"м3","kq1":"","kq2":"KQ-71-02","stableKey":"auto-2af92db9","plannedQuantity":1174.96,"scheduleQuantity":1174.96,"volumes":[0,0,0.18,0,273.43,889.72,0,0,0,0,0,11.63],"matchRule":"exact","matchConfidence":1,"contractRate":83.38711268042097,"currentRate":0,"actualRate":0,"rate":83.38711268042097},{"sourceKind":"ksg","sourceRow":164,"sourceKey":"auto-de0df9c3","workId":"","name":"Устройство бетонных покрытий","unit":"м3","kq1":"","kq2":"KQ-71-03","stableKey":"auto-3d9d5109","plannedQuantity":1064.9,"scheduleQuantity":1041.06,"volumes":[0,0,0,0,104.86,569.31,222.35,87.48,0,0,0,57.06],"matchRule":"exact","matchConfidence":1,"contractRate":1354.6688965095243,"currentRate":0,"actualRate":0,"rate":1354.6688965095243},{"sourceKind":"ksg","sourceRow":166,"sourceKey":"auto-51ad9fa2","workId":"","name":"Устройство элементов обеспечения БДД","unit":"шт.","kq1":"","kq2":"KQ-71-10","stableKey":"auto-b2e363f6","plannedQuantity":6,"scheduleQuantity":3,"volumes":[0,0,0,0,0,0,0,3,0,0,0,0],"matchRule":"exact","matchConfidence":1,"contractRate":133.063594445712,"currentRate":0,"actualRate":0,"rate":133.063594445712}],"revenueBasis":"ksg","actualThroughMonth":0,"primaryIdentityConfirmed":true,"workSourceMeta":{"boqFile":"data/sources/boq.xlsx (сценарий +5% Y64)","ksgFile":"data/sources/ksg.xlsx (сценарий +10% Y5)","paymentFile":"data/sources/payments.xlsx","paymentRows":6,"bankRows":6,"factoringRows":25,"receiptSource":"Платежи H + Факторинг R, без НДС; зачёты Первичка AD","paymentIdentityEvidence":"Контрагент 316668, ERP 120001358474, назначение платежа содержит 4700134128, валюта USD","primaryFile":"data/sources/primary_documents.xlsx","primaryRows":28,"primarySourceContract":"НКНХ.10321","bankSourceContract":"120001358474","primaryPaymentMatches":3,"primaryIdentityEvidence":"Первичка: НКНХ.10321, Подрядчик-1--2, ПЭ, USD; 7 документных сумм совпали с платежами ERP 120001358474, назначение которых содержит 4700134128","primaryCacheDifferences":[8,9,10,11,12],"resourceCacheDifferences":[8,9,10,11,12],"resourceSource":"Исходная модель, Детальная модель (кэшированных значений 2026 года)","resourceForecastPolicy":"Август–декабрь: прогнозные значения исходной модели, подтверждено пользователем; не считать фактом","currency":"USD","boqRows":888,"kq2Rows":146,"ksgRows":129,"matchedRows":129,"unmatchedRows":0,"ignoredRows":32,"boqCost":67698174.96757229,"scheduledCost":54001845.864776365,"contractQuantity":672181.8692630008,"scheduledQuantity":697305.5724999998,"sourceContractNumber":"4700134128","loadedAt":"2026-09-24T08:48:59.466Z","warnings":["Договорный номер первички НКНХ.10321 связан с 4700134128 через платёжный ERP 120001358474; отбор факта ограничен этим номером договора","Кэш исходной книги по первичке расходится с документами в месяцах 8, 9, 10, 11, 12","Ресурсные файлы расходятся с прогнозом исходной модели в месяцах 8, 9, 10, 11, 12"],"blockers":["План поступлений после даты банковского реестра отсутствует; августовский кэш Excel не совпадает с предоставленным реестром факторинга","Закрытый расход по статьям затрат не подтверждён первичными документами"]},"personnelCategories":{"direct":[{"sourceRow":25,"rate":1875,"currency":"USD","insurance":0.8999999999999999,"months":[53.391947111391644,73.55175077239957,80.45523404538055,84.38352214212152,89.09843526793128,94.87054582904221,109.97634630078734,179.13424866788884,276.7604300017202,291.24294979844865,252.4494722742328,252.0404802338531]},{"sourceRow":26,"rate":2000,"currency":"USD","insurance":30.9,"months":[0.19557489784392545,0.26942033249963215,0.294707817016046,0.30909715070374183,0.32636789475432704,0.34751115688293854,0.40284375934354344,0.6561694090398859,1.01377446887077,1.0668239919357094,0.9247233416638564,0.9232252023218062]},{"sourceRow":27,"rate":1875,"currency":"USD","insurance":30.9,"months":[24.446862230490684,33.677541562454024,36.83847712700575,38.637143837967734,40.79598684429089,43.43889461036732,50.35546991794293,82.02117612998575,126.72180860884626,133.3529989919637,115.59041770798206,115.40315029022578]},{"sourceRow":28,"rate":1875,"currency":"USD","insurance":30.9,"months":[111.86884156672535,154.1084301897896,168.5728713331783,176.80357020254033,186.6824357994751,198.77638173704085,230.42663034450683,375.32890197081474,579.8789961940804,610.2233233872258,528.9417514317258,528.0848157280732]},{"sourceRow":29,"rate":375,"currency":"USD","insurance":30.9,"months":[71.70391705069122,24.554147465437836,13.972043010752657,16.76989247311826,20.53010752688175,53.72795698924733,245.97920585514856,347.23451309578843,51.51108689605621,0,0,0]}],"indirect":[{"sourceRow":31,"rate":2718.75,"currency":"USD","insurance":0.8999999999999999,"months":[14.35898719691009,17.31762749445676,16.195479579429225,14.638433111603842,15.249195336528144,16.289874353288987,16.647593162148627,21.881957920031383,27.844670264896315,28.5732082794207,26.67023669856434,26.64863254461922]},{"sourceRow":32,"rate":1631.25,"currency":"USD","insurance":30.9,"months":[15.238108862027035,18.377890402280645,17.187039553679995,15.534663710273465,16.182819540805376,17.28721359940872,17.666833559831197,23.221669629421058,29.54944599540017,30.32258837816074,28.30310833317032,28.280181475922436]},{"sourceRow":33,"rate":2718.75,"currency":"USD","insurance":30.9,"months":[21.098919962806665,25.4463097877732,23.797439382018453,21.509534368070952,22.406980902653597,23.936141906873615,24.46176954438166,32.153081025352236,40.91461753209254,41.98512236976103,39.188919230543526,39.15717435127722]},{"sourceRow":34,"rate":1631.25,"currency":"USD","insurance":30.9,"months":[22.857163293040553,27.56683560342097,25.780559330519992,23.301995565410195,24.274229311208067,25.93082039911308,26.5002503397468,34.83250444413159,44.32416899310026,45.48388256724112,42.454662499755486,42.420272213883656]},{"sourceRow":35,"rate":1631.25,"currency":"USD","insurance":30.9,"months":[58.608111007796296,70.68419385492557,66.1039982833846,59.748706577974865,62.241613618482226,66.48928307464894,67.94935984550462,89.31411395931177,113.65171536692374,116.62533991600287,108.85810897373202,108.76992875354784]}]},"costSourceBasis":{"scaffoldPeople":true,"livingPeople":true,"projectMaterialsForecast":true,"materialMarkupPercent":10,"sourceExcel2026":true},"materialForecastByKq":{"KQ-01-01":[0,0,0,0,0,0,0,0,0,0,0,0],"KQ-03-01":[0,0,0,0,0,0,0,0,0,0,0,0],"KQ-111-11":[0,0,0,0,0,0,0,0,0,0,0,0],"KQ-03-08":[0,0,0,0,0,0,0,0,0,0,0,0],"KQ-03-10":[0,0,0,0,0,0,0,0,0,0,0,0],"KQ-03-13":[0,0,0,0,0,0,0,0,0,0,0,0],"KQ-03-14":[0,0,0,0,0,0,0,0,0,0,0,0],"KQ-03-17":[0,0,0,0,0,0,0,0,0,0,0,0],"KQ-03-18":[0,0,0,0,0,0,0,0,0,0,0,0],"KQ-03-25":[0,0,0,0,0,0,0,0,0,0,0,0],"KQ-03-26":[0,0,0,0,0,0,0,0,0,0,0,0],"KQ-03-27":[0,0,0,0,0,0,0,0,0,0,0,0],"KQ-05-01":[0,0,0,0,0,0,0,0,0,0,0,0],"KQ-09-01":[0,0,0,0,0,0,0,0,0,0,0,0],"KQ-10-01":[8520.337,1742.2089999999998,2592.0369999999994,2115.9565,4863.0329999999985,14049.024499999998,3978.7334999999994,2411.1884999999997,58.3065,681.6284999999999,165.2805,110.187],"KQ-12-01":[6267.375,4243.1875,1137.3125,600.0625,5481.0625,6098,2123.625,1861.3125,271.6875,181.125,0,0],"KQ-12-02":[73647.375,58449.625,25895.625,10994.5,12645.124999999998,46191.375,22166.125,15130.5,2970.75,922.5,0,0],"KQ-12-03":[0,0,1334.375,2653.125,1352.125,949.9375,198.1875,493.8125,108.5625,72.375,0,0],"KQ-13-01":[100218.875,24642.25,15271.250000000002,41452.49999999999,26922.625,15042.5,4203.625,4666.625,1079.625,783.5,29.25,19.5],"KQ-16-01":[60.75,40.5,13663.125,29041.5,25299.75,30680.999999999996,31209.749999999996,38989.49999999999,45569.625,18165.75,6970.5,747],"KQ-18-02":[14.34375,9.5625,133.875,211.065625,68.371875,437.484375,104.709375,69.80624999999999,0,0,0,0],"KQ-19-01":[0,0,0,0,0,0,0,0,0,170.625,43.875,370.5],"KQ-19-05":[0,0,0,0,0,0,0,0,0,0,0,43.75],"KQ-20-02":[0,0,0,0,290.06249999999994,74.58749999999999,49.724999999999994,0,0,0,0,0],"KQ-20-03":[0,0,0,0,290.06249999999994,74.58749999999999,49.724999999999994,0,0,0,0,0],"KQ-22-01":[0,0,0,0,0,0,0,0,0,0,0,0],"KQ-22-02":[0,0,0,0,0,0,0,0,0,0,0,0],"KQ-22-03":[0,0,0,0,0,0,0,0,0,0,0,0],"KQ-23-01":[0,0,0,0,0,0,0,0,0,0,0,0],"KQ-23-02":[0,0,0,0,0,0,0,0,0,0,0,0],"KQ-24-01":[0,0,0,0,0,0,0,0,0,0,0,0],"KQ-25-01":[0,0,0,0,63278.6,21870.59,12287.49,3926.42,12074.49,6383.87,5668.58,1271.3999999999999],"KQ-25-02":[0,0,0,0,0,0,0,3023.183333333333,5249.689999999999,4691.463333333333,4567.253333333333,1295.6499999999999],"KQ-27-02":[0,0,0,0,0,0,0,0,0,0,0,0],"KQ-27-03":[0,0,0,0,0,0,0,0,0,0,0,0],"KQ-27-04":[0,0,0,0,0,0,0,0,0,0,0,0],"KQ-27-05":[0,0,0,0,0,0,0,0,0,0,0,0],"KQ-27-10":[0,0,0,0,0,0,0,0,0,0,0,0],"KQ-27-13":[0,0,0,0,0,0,0,0,0,0,0,0],"KQ-27-14":[0,0,0,0,0,0,0,0,0,0,0,0],"KQ-27-19":[0,0,0,0,0,0,0,0,0,0,0,0],"KQ-28-01":[0,0,0,0,0,0,0,0,0,0,0,0],"KQ-32-01":[0,0,0,0,0,0,0,0,0,0,0,0],"KQ-33-01":[0,0,0,0,0,0,0,0,0,0,0,0],"KQ-33-06":[0,0,0,0,0,0,0,0,0,0,0,0],"KQ-33-07":[0,0,0,0,0,0,0,0,0,0,0,0],"KQ-33-08":[0,0,0,0,0,0,0,0,0,0,0,0],"KQ-34-03":[0,0,0,0,0,0,0,0,0,0,0,0],"KQ-35-01":[0,0,0,0,0,0,0,0,0,0,0,0],"KQ-35-02":[0,0,0,0,0,0,0,0,0,0,0,0],"KQ-37-02":[0,0,0,0,0,0,0,0,0,0,0,0],"KQ-38-02":[0,0,7363.44,10956.951,7348.347,2519.424,643.788,1112.2649999999999,6236.2035,1992.8835,34053.0345,28017.501749999996],"KQ-38-03":[0,0,68.51249999999999,17.6175,11.745,12551.253749999998,3227.4652499999997,19267.247249999997,25848.481499999998,19541.855249999997,19871.16075,9970.249499999998],"KQ-38-05":[0,0,0,0,0,0,0,0,2371.005,1152.35325,583.8007499999999,102.74849999999999],"KQ-40-02":[0,0,0,0,0,0,0,1414,23982.999999999996,10492.159999999998,8573.22,24046.539999999997],"KQ-41-02":[0,0,0,0,0,0,0,0,247.1,342.84,114.17999999999999,47.879999999999995],"KQ-43-01":[0,0,0,0,0,0,0,0,157.5,571.275,735.2099999999999,710.5049999999999],"KQ-44-01":[0,0,0,0,0,0,0,0,0,0,0,0],"KQ-45-01":[0,0,0,0,0,0,0,0,0,0,0,0],"KQ-45-02":[0,0,0,0,0,0,0,0,0,0,0,0],"KQ-46-01":[0,0,0,0,0,0,0,3.5,0.8999999999999999,0.6,0,0],"KQ-46-02":[0,0,0,0,0,945.6999999999999,2134.4049999999997,119901.65999999999,137131.72499999998,66917.17,65600.34,15399.5],"KQ-46-03":[0,0,0,0,0,0,0,105,27,1330.5,337.5,225],"KQ-48-01":[0,0,0,0,0,0,0,0,0,0,0,0],"KQ-48-02":[0,0,0,0,0,0,0,0,0,0,0,0],"KQ-48-03":[0,0,0,0,0,0,0,0,0,0,0,0],"KQ-48-04":[0,0,0,0,0,0,0,0,0,0,0,0],"KQ-48-05":[0,0,0,0,0,0,0,0,0,0,0,0],"KQ-49-01":[0,0,0,0,0,0,0,0,0,0,0,0],"KQ-49-02":[0,0,0,0,0,0,0,0,0,0,0,0],"KQ-49-04":[0,0,0,0,0,0,0,0,0,0,0,0],"KQ-49-05":[0,0,0,0,0,0,0,0,0,0,0,0],"KQ-50-01":[0,0,0,0,0,0,0,0,0,0,0,0],"KQ-50-02":[0,0,0,0,0,0,0,0,0,0,0,0],"KQ-51-01":[0,0,0,0,0,98.37187499999999,150.04874999999998,4023.6743749999996,7126.4818749999995,4931.881874999999,3240.7525,1528.3825],"KQ-51-02":[37.5,463.77187499999997,1809.4056249999999,1052.06375,600.8824999999999,518.048125,354.2125,1080.8125,809.9206249999999,1256.2618749999997,1293.31,885.8718749999999],"KQ-55-01":[0,0,0,0,0,0,0,0,0,0,0,0],"KQ-56-02":[0,0,0,0,0,0,0,0,0,0,0,0],"KQ-57-01":[0,0,0,0,0,0,0,0,0,0,0,0],"KQ-57-02":[0,0,0,0,0,0,0,0,0,0,0,0],"KQ-57-03":[0,0,0,0,0,0,0,0,0,0,0,0],"KQ-58-01":[0,0,0,0,0,0,0,0,0,0,0,0],"KQ-59-01":[0,0,0,0,0,0,0,0,0,0,0,0],"KQ-59-02":[0,0,0,0,0,0,0,0,0,0,0,0],"KQ-60-01":[0,0,0,0,0,0,0,0,0,0,0,0],"KQ-60-02":[0,0,0,0,0,0,0,0,0,0,0,0],"KQ-60-03":[0,0,0,0,0,0,0,0,0,0,0,0],"KQ-60-04":[0,0,0,0,0,0,0,0,0,0,0,0],"KQ-60-05":[0,0,0,0,0,0,0,0,0,0,0,0],"KQ-60-07":[0,0,0,0,0,0,0,0,0,0,0,0],"KQ-61-01":[0,0,0,0,0,0,0,0,0,0,0,0],"KQ-61-02":[0,0,0,0,0,0,0,0,0,0,0,0],"KQ-62-01":[0,0,0,0,0,0,2382.7999999999997,11567.72,21024.379999999997,13006.16,20343.059999999998,5136.36],"KQ-62-02":[0,0,0,0,0,0,0,0,0,0,0,0],"KQ-62-03":[0,0,0,0,0,0,0,0,0,0,0,0],"KQ-62-05":[0,0,0,0,0,0,0,0,10500,2700,15043.3,3405.42],"KQ-63-01":[0,0,0,0,0,0,0,0,0,0,0,0],"KQ-63-06":[0,0,0,0,0,0,0,0,0,0,0,0],"KQ-63-07":[0,0,0,0,0,0,0,0,0,0,0,0],"KQ-64-01":[0,0,0,0,183.75,47.25,31.5,0,0,171.58749999999998,117.92874999999998,149.01874999999998],"KQ-64-02":[0,0,0,0,0,0,0,0,0,41.125,196.64374999999998,630.4275],"KQ-64-05":[0,0,0,0,0,0,0,0,0,0,0,0],"KQ-65-02":[0,0,0,0,0,0,0,0,0,0,393.75,101.25],"KQ-66-02":[0,0,0,0,0,0,0,394.58124999999995,290.85749999999996,510.92499999999995,528.5124999999999,169.10625],"KQ-66-03":[0,0,0,0,0,0,0,0,0,0,0,0],"KQ-67-01":[0,0,0,0,0,0,0,1888.0341666666666,2373.5286666666666,2697.1916666666666,809.1574999999999,323.66299999999995],"KQ-67-02":[0,0,0,0,0,0,0,12285.699999999999,47363.479999999996,20557.64,9399.66,1214.52],"KQ-67-03":[0,0,0,0,0,0,0,978.0312499999999,138425.36875,361406.66562499997,107440.58437499999,77962.31875],"KQ-67-04":[0,0,0,0,0,0,0,0,0,0,0,0],"KQ-67-07":[0,0,0,0,0,0,0,70.08749999999999,1566.7725,4356.427500000001,1280.2275,676.4850000000001],"KQ-67-08":[0,0,0,0,0,0,0,0,1072.3125,275.7375,183.825,0],"KQ-68-05":[0,0,0,0,0,0,0,318.6225,81.9315,54.621,0,0],"KQ-68-02":[0,0,0,0,0,0,0,10.5,2.6999999999999997,54.3,13.5,9],"KQ-68-03":[0,0,0,0,0,0,0,0,0,0,0,0],"KQ-68-07":[0,0,0,0,0,0,0,0,0,0,0,0],"KQ-69-01":[2677.8,9256,12465.650000000001,19288.499999999996,6274.2,3097.0499999999997,1244.7,324.45,180.9,0,0,0],"KQ-69-02":[0,0,0,0,0,0,730.58125,1557.3991666666666,1846.9441666666667,1956.4791666666665,586.94375,3386.5275],"KQ-69-03":[2.9175,0,0,438.41875,4166.08625,3430.6412499999997,2460.1249999999995,2146.3,964.535,582.53125,673.00875,951.495],"KQ-69-04":[0,0,0,0,0,0,0,617.6187499999999,1381.2933333333335,1642.7058333333334,1746.3958333333335,523.91875],"KQ-69-06":[0,0,0,0,0,0,0,0,0,0,0,0],"KQ-71-01":[0,0,0,0,1695.815625,5957.505000000001,1710.5096250000001,946.5322500000001,0,0,0,0],"KQ-71-02":[0,0,2.3625,0.6074999999999999,3589.17375,12600.401249999999,3618.0225,2001.87,0,0,0,152.64375],"KQ-71-03":[0,0,0,0,22938.125,130434.93749999997,84595,52992.5625,13258.875,3280.5,0,12481.875],"KQ-71-10":[0,0,0,0,0,0,0,0,0,0,0,0]},"primaryMonthsWithDocuments":[true,false,true,true,true,true,true,true,false,false,false,false],"paymentActualMonths":[true,true,true,true,true,true,true,true,false,false,false,false],"cashFlowBasis":"source_model","kqEstimate":[{"code":"KQ-32-01","name":"Сварка технологических трубопроводов (черн. стали), DI","unit":"ед.","quantity":72201.32699999996,"laborHours":241043.8231690781,"machineHours":29832.15888145177,"cost":11424902.4776793,"materialsCost":0,"materialsRows":65,"sourceRows":65,"sourceKeys":["auto-db2f2c19","auto-da2f2a86","auto-e52f3bd7","auto-e42f3a44","auto-e3317748","auto-e43178db","auto-e5317a6e","auto-e6317c01","auto-e7317d94","auto-e8317f27","auto-e93180ba","auto-ea31824d","auto-db316ab0","auto-dc316c43","auto-e933bf51","auto-e833bdbe","auto-e733bc2b","auto-e633ba98","auto-ed33c59d","auto-ec33c40a","auto-eb33c277","auto-ea33c0e4","auto-e133b2b9","auto-e033b126","auto-6b6c8b0d","auto-6a6c897a","auto-696c87e7","auto-686c8654","auto-8cb5fd0f","auto-8bb5fb7c","auto-8eb60035","auto-8db5fea2","auto-90b6035b","auto-8fb601c8","auto-9ea4d044","auto-9fa4d1d7","auto-a0a4d36a","auto-a1a4d4fd","auto-9aa4c9f8","auto-9ba4cb8b","auto-9ca4cd1e","auto-9da4ceb1","auto-96a4c3ac","auto-97a4c53f","auto-a4a7184d","auto-a3a716ba","auto-a2a71527","auto-a1a71394","auto-a0a71201","auto-9fa7106e","auto-9ea70edb","auto-9da70d48","auto-9ca70bb5","auto-9ba70a22","auto-86b7d8b9","auto-85b7d726","auto-84b7d593","auto-83b7d400","auto-8ab7df05","auto-89b7dd72","auto-88b7dbdf","auto-87b7da4c","auto-8eb7e551","auto-8db7e3be","auto-80b590b0"],"stableKey":"auto-b0b87459","rate":158.23673819290477,"scheduledQuantity":29132.44,"scheduledCost":4609822.281200507,"quantityVariance":-43068.88699999996,"scheduleRows":1},{"code":"KQ-33-01","name":"Монтаж технологических трубопроводов на эстакаде (стальные), м","unit":"ед.","quantity":27049.596000000143,"laborHours":200119.57998532578,"machineHours":27454.0178276175,"cost":9779513.974465769,"materialsCost":0,"materialsRows":23,"sourceRows":23,"sourceKeys":["auto-6c99b078","auto-6d99b20b","auto-6a9bebe9","auto-699bea56","auto-689be8c3","auto-679be730","auto-6e9bf235","auto-6d9bf0a2","auto-29003f14","auto-aff8c4d4","auto-b0f8c667","auto-b1f8c7fa","auto-b2f8c98d","auto-abf8be88","auto-acf8c01b","auto-adf8c1ae","auto-aef8c341","auto-a7f8b83c","auto-a8f8b9cf","auto-b5fb0cdd","auto-b4fb0b4a","auto-b3fb09b7","auto-b2fb0824"],"stableKey":"auto-dc5998b8","rate":361.54011226140744,"scheduledQuantity":69067.83,"scheduledCost":8656485.062315293,"quantityVariance":42018.23399999986,"scheduleRows":3},{"code":"KQ-13-01","name":"Устройство монолитных конструкций выше 0, м3","unit":"ед.","quantity":1309.45,"laborHours":112003.64645918985,"machineHours":7782.562944</t>
        </is>
      </c>
    </row>
    <row r="5">
      <c r="A5" t="inlineStr">
        <is>
          <t>7138635,"cost":4261229.608566901,"materialsCost":0,"materialsRows":22,"sourceRows":22,"sourceKeys":["auto-e2ea1e4d","auto-dfea1994","auto-e0ea1b27","auto-ddea166e","auto-53f18bf5","auto-5af196fa","auto-4def43ec","auto-4eef457f","auto-4fef4712","auto-90aa19ca","auto-8faa1837","auto-8eaa16a4","auto-8daa1511","auto-f8acfc19","auto-05af4f27","auto-04af4d94","auto-f39de9b0","auto-f49deb43","auto-dd125608","auto-dc125475","auto-db1252e2","auto-de101904"],"stableKey":"auto-afdcb29a","rate":3254.213302200848,"scheduledQuantity":352.45,"scheduledCost":1146947.4783606888,"quantityVariance":-957,"scheduleRows":1},{"code":"KQ-48-01","name":"Монтаж кабеля КИПиА, м","unit":"ед.","quantity":224924,"laborHours":99246.85286344783,"machineHours":9517.548952357602,"cost":3404972.611232928,"materialsCost":0,"materialsRows":45,"sourceRows":45,"sourceKeys":["auto-cee863f2","auto-cfe86585","auto-c8e85a80","auto-c9e85c13","auto-cae85da6","auto-cbe85f39","auto-d4e86d64","auto-d5e86ef7","auto-5ef00267","auto-5df000d4","auto-60f0058d","auto-5ff003fa","auto-5aeffc1b","auto-59effa88","auto-5cefff41","auto-5beffdae","auto-56eff5cf","auto-55eff43c","auto-58edba5e","auto-59edbbf1","auto-56edb738","auto-57edb8cb","auto-5cedc0aa","auto-5dedc23d","auto-5aedbd84","auto-5bedbf17","auto-50edadc6","auto-1b52854c","auto-1c5286df","auto-19528226","auto-1a5283b9","auto-17527f00","auto-18528093","auto-2552950a","auto-2652969d","auto-af5a2a0d","auto-ae5a287a","auto-ad5a26e7","auto-ac5a2554","auto-ab5a23c1","auto-aa5a222e","auto-a95a209b","auto-a85a1f08","auto-a75a1d75","auto-a65a1be2"],"stableKey":"auto-3684a862","rate":15.138324995255855,"scheduledQuantity":284446.73000000004,"scheduledCost":4306047.042577794,"quantityVariance":59522.73000000004,"scheduleRows":1},{"code":"KQ-45-01","name":"Монтаж кабельных лотков, м","unit":"ед.","quantity":29231.435999999994,"laborHours":79543.62746295433,"machineHours":3125.076445177548,"cost":2489102.3061178494,"materialsCost":0,"materialsRows":18,"sourceRows":18,"sourceKeys":["auto-dc22e10e","auto-db22df7b","auto-da22dde8","auto-d922dc55","auto-d822dac2","auto-40f24bde","auto-41f24d71","auto-3ef248b8","auto-3ff24a4b","auto-4b7650c3","auto-507658a2","auto-51765a35","auto-4e76557c","auto-4f76570f","auto-54765eee","auto-55766081","auto-dd7df25e","auto-dc7df0cb"],"stableKey":"auto-5236faa7","rate":85.15155759429163,"scheduledQuantity":29726.989999999994,"scheduledCost":2531299.501089931,"quantityVariance":495.5540000000001,"scheduleRows":1},{"code":"KQ-23-02","name":"Монтаж металлоконструкций усиления, т","unit":"ед.","quantity":191.84,"laborHours":60040.71635376319,"machineHours":4683.418249359819,"cost":2125772.354795045,"materialsCost":0,"materialsRows":1,"sourceRows":1,"sourceKeys":["auto-179bf886"],"stableKey":"auto-093f384e","rate":11080.965152184348,"scheduledQuantity":4.16,"scheduledCost":46096.81503308689,"quantityVariance":-187.68,"scheduleRows":1},{"code":"KQ-12-02","name":"Устройство монолитных конструкций ниже 0 (за исключением колодцев), м3","unit":"ед.","quantity":1778.4700000000003,"laborHours":45721.47248211451,"machineHours":8225.059225152785,"cost":2034516.3911157253,"materialsCost":0,"materialsRows":15,"sourceRows":15,"sourceKeys":["auto-535bd878","auto-57605bf2","auto-56605a5f","auto-556058cc","auto-52605413","auto-60606a1d","auto-ef1b7b9f","auto-6020aab0","auto-6120ac43","auto-6620b422","auto-6720b5b5","auto-6420b0fc","auto-6520b28f","auto-6822f5df","auto-6522f126"],"stableKey":"auto-0e54ddd6","rate":1143.970036669567,"scheduledQuantity":386.00000000000006,"scheduledCost":441572.43415445293,"quantityVariance":-1392.4700000000003,"scheduleRows":1},{"code":"KQ-48-04","name":"Расключение кабеля КИПиА, шт. (конец кабеля)","unit":"ед.","quantity":12370,"laborHours":58439.160697379586,"machineHours":1863.5657513552171,"cost":1753262.5417062335,"materialsCost":0,"materialsRows":35,"sourceRows":35,"sourceKeys":["auto-7b7b38f5","auto-7a7b3762","auto-757b2f83","auto-747b2df0","auto-777b32a9","auto-767b3116","auto-817b4267","auto-807b40d4","auto-7378edc6","auto-7478ef59","auto-7178eaa0","auto-7278ec33","auto-7778f412","auto-7878f5a5","auto-7578f0ec","auto-7678f27f","auto-7b78fa5e","auto-7c78fbf1","auto-0d760e9d","auto-0c760d0a","auto-09760851","auto-3bffe2f1","auto-38ffde38","auto-39ffdfcb","auto-36ffdb12","auto-37ffdca5","auto-38fd9fa1","auto-37fd9e0e","auto-36fd9c7b","auto-35fd9ae8","auto-3cfda5ed","auto-3bfda45a","auto-3afda2c7","auto-39fda134","auto-b3fa8fab"],"stableKey":"auto-3384a3a9","rate":141.735047833972,"scheduledQuantity":4615.3099999999995,"scheduledCost":654151.1836186092,"quantityVariance":-7754.6900000000005,"scheduleRows":1},{"code":"KQ-33-07","name":"Монтаж арматуры технологических трубопроводов, шт.","unit":"ед.","quantity":4072,"laborHours":29091.71247236119,"machineHours":6355.0639200887945,"cost":1592696.0660619645,"materialsCost":0,"materialsRows":37,"sourceRows":37,"sourceKeys":["auto-eaa98960","auto-eda98e19","auto-eca98c86","auto-f7a99dd7","auto-f6a99c44","auto-e9a74936","auto-eaa74ac9","auto-e7a74610","auto-e8a747a3","auto-eda74f82","auto-eea75115","auto-eba74c5c","auto-eca74def","auto-f1a755ce","auto-f2a75761","auto-83a46a0d","auto-82a4687a","auto-81a466e7","auto-543811ec","auto-5538137f","auto-52380ec6","auto-53381059","auto-50380ba0","auto-51380d33","auto-5e3821aa","auto-5f38233d","auto-5035cd09","auto-4f35cb76","auto-4e35c9e3","auto-4d35c850","auto-5435d355","auto-5335d1c2","auto-5235d02f","auto-5135ce9c","auto-5835d9a1","auto-5735d80e","auto-ca32bb80"],"stableKey":"auto-e259a22a","rate":391.133611508341,"scheduledQuantity":4307.0599999999995,"scheduledCost":1684635.932783115,"quantityVariance":235.0599999999995,"scheduleRows":1},{"code":"KQ-22-02","name":"Монтаж основных металлоконструкций этажерок и структур, т","unit":"ед.","quantity":534.7888230000001,"laborHours":29897.703604813978,"machineHours":7407.805936401488,"cost":1592331.7092983085,"materialsCost":347.5788230000001,"materialsRows":3,"sourceRows":3,"sourceKeys":["auto-d1cfe051","auto-0e2cab11","auto-0f397897"],"stableKey":"auto-09c60f9f","rate":2977.4962392927728,"scheduledQuantity":756.3600000000001,"scheduledCost":2252059.055551482,"quantityVariance":221.57117700000003,"scheduleRows":1},{"code":"KQ-27-05","name":"Монтаж блочных и комплектных установок, т","unit":"ед.","quantity":336.08,"laborHours":15910.490601586731,"machineHours":3680.491884064522,"cost":1226687.207172561,"materialsCost":0,"materialsRows":5,"sourceRows":5,"sourceKeys":["auto-c703647e","auto-c8036611","auto-c5036158","auto-c60362eb","auto-d7669176"],"stableKey":"auto-ac586773","rate":3649.9857390280918,"scheduledQuantity":599.9100000000001,"scheduledCost":2189662.9447003426,"quantityVariance":263.8300000000001,"scheduleRows":1},{"code":"KQ-22-03","name":"Монтаж основных металлоконструкций эстакад, т","unit":"ед.","quantity":318.37,"laborHours":21135.19058789225,"machineHours":5226.351667051665,"cost":1123695.6305744587,"materialsCost":0,"materialsRows":2,"sourceRows":2,"sourceKeys":["auto-d5ac7d3d","auto-c3aa2250"],"stableKey":"auto-08c60e0c","rate":3529.527375614721,"scheduledQuantity":39.58,"scheduledCost":139698.69352683067,"quantityVariance":-278.79,"scheduleRows":1},{"code":"KQ-49-01","name":"Монтаж силового кабеля до 1 кВ, м","unit":"ед.","quantity":77773.30000000002,"laborHours":30769.633024847524,"machineHours":3309.4077540524227,"cost":1079780.0414139472,"materialsCost":0,"materialsRows":27,"sourceRows":27,"sourceKeys":["auto-c2339d72","auto-c3339f05","auto-c433a098","auto-c533a22b","auto-56595747","auto-555955b4","auto-58595a6d","auto-575958da","auto-525950fb","auto-51594f68","auto-54595421","auto-5359528e","auto-4e594aaf","auto-4d59491c","auto-d05645be","auto-d1564751","auto-588f135b","auto-55914d39","auto-54914ba6","auto-53914a13","auto-52914880","auto-59915385","auto-589151f2","auto-5791505f","auto-56914ecc","auto-5d9159d1","auto-5c91583e"],"stableKey":"auto-fa5031ab","rate":13.883685550361719,"scheduledQuantity":74940.63,"scheduledCost":1040452.141866004,"quantityVariance":-2832.670000000013,"scheduleRows":1},{"code":"KQ-40-02","name":"Тепловая изоляция технологических трубопроводов, м2","unit":"ед.","quantity":6243.509999999998,"laborHours":40633.90342536783,"machineHours":851.1090348157868,"cost":1007646.1957656067,"materialsCost":0,"materialsRows":6,"sourceRows":6,"sourceKeys":["auto-303559de","auto-2f3796e2","auto-30379875","auto-eccfc3dd","auto-ebcfc24a","auto-6ad2c8ce"],"stableKey":"auto-8f6d3227","rate":161.39097971583405,"scheduledQuantity":787.19,"scheduledCost":127045.36532250741,"quantityVariance":-5456.319999999998,"scheduleRows":1},{"code":"KQ-23-01","name":"Монтаж второстепенных металлоконструкций, т","unit":"ед.","quantity":165.34,"laborHours":22984.36122261245,"machineHours":3593.1022249255266,"cost":1002801.6025753528,"materialsCost":0,"materialsRows":5,"sourceRows":5,"sourceKeys":["auto-8c89c28a","auto-8087710f","auto-9ae25f00","auto-14e9dad3","auto-13e9d940"],"stableKey":"auto-083f36bb","rate":6065.087713652792,"scheduledQuantity":244.95,"scheduledCost":1485643.2354592513,"quantityVariance":79.60999999999999,"scheduleRows":1},{"code":"KQ-38-03","name":"АКЗ металлоконструкций, м2","unit":"ед.","quantity":4431.58,"laborHours":34415.27507917947,"machineHours":885.4314525652794,"cost":956131.7526487475,"materialsCost":0,"materialsRows":4,"sourceRows":4,"sourceKeys":["auto-6073e679","auto-0556b5cb","auto-8e5e493b","auto-8d5e47a8"],"stableKey":"auto-73d48649","rate":215.75414471785402,"scheduledQuantity":3397.0499999999997,"scheduledCost":732927.617313786,"quantityVariance":-1034.5300000000002,"scheduleRows":1},{"code":"KQ-34-01","name":"Монтаж теплоспутников трубопроводов, м","unit":"ед.","quantity":5441.425,"laborHours":20915.326668638103,"machineHours":2653.0217791519663,"cost":936473.2462900608,"materialsCost":0,"materialsRows":2,"sourceRows":2,"sourceKeys":["auto-c72f5fc5","auto-89917aa5"],"stableKey":"auto-e14295af","rate":172.10073579807877,"scheduledQuantity":0,"scheduledCost":0,"quantityVariance":-5441.425,"scheduleRows":0},{"code":"KQ-09-03","name":"Щитовое ограждение котлованов и траншей, м2","unit":"ед.","quantity":2833.15,"laborHours":15719.460608123329,"machineHours":5115.838547913835,"cost":919585.9504136117,"materialsCost":0,"materialsRows":2,"sourceRows":2,"sourceKeys":["auto-05eb93e0","auto-a6185009"],"stableKey":"auto-da7f2485","rate":324.58074948859456,"scheduledQuantity":0,"scheduledCost":0,"quantityVariance":-2833.15,"scheduleRows":0},{"code":"KQ-09-01","name":"Разработка грунта с погрузкой, м3","unit":"ед.","quantity":11083.060000000001,"laborHours":7957.75463015346,"machineHours":8555.224563020653,"cost":916741.1915177174,"materialsCost":0,"materialsRows":11,"sourceRows":11,"sourceKeys":["auto-5b7613af","auto-60761b8e","auto-61761d21","auto-f2732fcd","auto-f1732e3a","auto-360f4073","auto-370f4206","auto-380f4399","auto-390f452c","auto-3a0f46bf","auto-3b0f4852"],"stableKey":"auto-d87f215f","rate":82.71553086581841,"scheduledQuantity":1807.6899999999998,"scheduledCost":149524.03799083128,"quantityVariance":-9275.37,"scheduleRows":1},{"code":"KQ-11-02","name":"Устройство буронабивных свай, м","unit":"ед.","quantity":3273,"laborHours":14532.571111569461,"machineHours":9836.62521752108,"cost":886721.7033423655,"materialsCost":0,"materialsRows":6,"sourceRows":6,"sourceKeys":["auto-83bd6596","auto-84bd6729","auto-0db172e1","auto-6453653c","auto-655366cf","auto-66536862"],"stableKey":"auto-500d00c9","rate":270.9201660074444,"scheduledQuantity":0,"scheduledCost":0,"quantityVariance":-3273,"scheduleRows":0},{"code":"KQ-71-03","name":"Устройство бетонных покрытий, м3","unit":"ед.","quantity":610.59,"laborHours":13908.505019911681,"machineHours":4729.49257842222,"cost":827147.2815197505,"materialsCost":0,"materialsRows":8,"sourceRows":8,"sourceKeys":["auto-868b1051","auto-007f046c","auto-ac5c81ae","auto-ab5ebeb2","auto-3061cea8","auto-3561d687","auto-3461d4f4","auto-3761d9ad"],"stableKey":"auto-3f49dbe8","rate":1354.6688965095243,"scheduledQuantity":1041.06,"scheduledCost":1410291.6014002054,"quantityVariance":430.4699999999999,"scheduleRows":1},{"code":"KQ-25-01","name":"Монтаж стеновых сэндвич панелей, м2","unit":"ед.","quantity":2511.59,"laborHours":6571.313972640943,"machineHours":2759.6968789860894,"cost":798922.4642247539,"materialsCost":0,"materialsRows":2,"sourceRows":2,"sourceKeys":["auto-6b8511fa","auto-2d8d62c8"],"stableKey":"auto-e55d1e2d","rate":318.09430051272454,"scheduledQuantity":2545.4000000000005,"scheduledCost":809677.2325250892,"quantityVariance":33.8100000000004,"scheduleRows":1},{"code":"KQ-38-02","name":"АКЗ трубопроводов, м2","unit":"ед.","quantity":7580.229999999884,"laborHours":24122.073458568746,"machineHours":2520.9094209205755,"cost":779710.5283464402,"materialsCost":0,"materialsRows":13,"sourceRows":13,"sourceKeys":["auto-434fbedc","auto-464fc395","auto-454fc202","auto-404fba23","auto-1f8b9d07","auto-1e8b9b74","auto-1d8b99e1","auto-1c8b984e","auto-1b8b96bb","auto-1a8b9528","auto-198b9395","auto-188b9202","auto-9b888ea4"],"stableKey":"auto-72d484b6","rate":102.86106468358507,"scheduledQuantity":3385.17,"scheduledCost":348202.19033493166,"quantityVariance":-4195.059999999884,"scheduleRows":1},{"code":"KQ-10-01","name":"Обратная засыпка грунта с уплотнением, м3","unit":"ед.","quantity":9071.5,"laborHours":9197.023265792559,"machineHours":4235.482807744962,"cost":621775.8772784411,"materialsCost":0,"materialsRows":10,"sourceRows":10,"sourceKeys":["auto-a7be0ab3","auto-a6be0920","auto-adbe1425","auto-acbe1292","auto-21f85939","auto-2af86764","auto-2bf868f7","auto-b91299a2","auto-ba129b35","auto-b712967c"],"stableKey":"auto-c16b4091","rate":68.54168299382033,"scheduledQuantity":1894.8600000000001,"scheduledCost":129876.8934376704,"quantityVariance":-7176.639999999999,"scheduleRows":1},{"code":"KQ-35-01","name":"Неразрушающий контроль стыков (РК), стык","unit":"ед.","quantity":6326.800000000451,"laborHours":11903.947906472687,"machineHours":683.5964198959606,"cost":592546.6641691517,"materialsCost":0,"materialsRows":21,"sourceRows":21,"sourceKeys":["auto-a4b71c67","auto-a5b71dfa","auto-a6b71f8d","auto-97b707f0","auto-98b70983","auto-a5b95c91","auto-a4b95afe","auto-a3b9596b","auto-a2b957d8","auto-a9b962dd","auto-a8b9614a","auto-602e5b43","auto-612e5cd6","auto-622e5e69","auto-6b2e6c94","auto-6c2e6e27","auto-6930a805","auto-6830a672","auto-6730a4df","auto-6630a34c","auto-6530a1b9"],"stableKey":"auto-637a87c6","rate":93.65661379672338,"scheduledQuantity":43894.11,"scheduledCost":4110973.7082208935,"quantityVariance":37567.30999999955,"scheduleRows":1},{"code":"KQ-49-04","name":"Расключение силового кабеля до 1 кВ, шт. (конец кабеля)","unit":"ед.","quantity":7077.400000000001,"laborHours":14065.77189942626,"machineHours":668.7226018132419,"cost":436808.30520549597,"materialsCost":0,"materialsRows":39,"sourceRows":39,"sourceKeys":["auto-50ef0622","auto-51ef07b5","auto-4aeefcb0","auto-4beefe43","auto-4ceeffd6","auto-4def0169","auto-56ef0f94","auto-57ef1127","auto-97aa670c","auto-98aa689f","auto-99aa6a32","auto-9aaa6bc5","auto-93aa60c0","auto-94aa6253","auto-95aa63e6","auto-96aa6579","auto-9faa73a4","auto-a0aa7537","auto-1dad7895","auto-1cad7702","auto-1bad756f","auto-1aad73dc","auto-19ad7249","auto-18ad70b6","auto-17ad6f23","auto-16ad6d90","auto-ec239f88","auto-ed23a11b","auto-ee23a2ae","auto-ef23a441","auto-f023a5d4","auto-f123a767","auto-f223a8fa","auto-f323aa8d","auto-e42392f0","auto-e5239483","auto-f225e791","auto-f125e5fe","auto-f025e46b"],"stableKey":"auto-fd503664","rate":61.718753384787625,"scheduledQuantity":8966,"scheduledCost":553370.3428480058,"quantityVariance":1888.5999999999995,"scheduleRows":1},{"code":"KQ-33-06","name":"Монтаж опор технологических трубопроводов, т","unit":"ед.","quantity":18.52044000000037,"laborHours":9193.73475476321,"machineHours":351.2248609295091,"cost":376723.18226023286,"materialsCost":0,"materialsRows":4,"sourceRows":4,"sourceKeys":["auto-54860eb2","auto-4f8606d3","auto-89cf46b5","auto-86cf41fc"],"stableKey":"auto-e359a3bd","rate":20340.94126598641,"scheduledQuantity":33.25,"scheduledCost":676336.2970940481,"quantityVariance":14.72955999999963,"scheduleRows":1},{"code":"KQ-34-03","name":"Монтаж стальных трубопроводов теплых полов технологических зон, м","unit":"ед.","quantity":3360,"laborHours":13147.049055191574,"machineHours":128.1536603072982,"cost":365956.9212454315,"materialsCost":0,"materialsRows":2,"sourceRows":2,"sourceKeys":["auto-31f3c180","auto-fe44a2fd"],"stableKey":"auto-e34298d5","rate":108.91575037066414,"scheduledQuantity":5041.79,"scheduledCost":549130.3410613107,"quantityVariance":1681.79,"scheduleRows":1},{"code":"KQ-48-02","name":"Монтаж оптического кабеля, м","unit":"ед.","quantity":16017,"laborHours":7128.287996012354,"machineHours":1908.4300442065983,"cost":326967.6402551752,"materialsCost":0,"materialsRows":5,"sourceRows":5,"sourceKeys":["auto-84fc582b","auto-860da2df","auto-4b9254ba","auto-4c92564d","auto-49925194"],"stableKey":"auto-3584a6cf","rate":20.413787866340463,"scheduledQuantity":10364.22,"scheduledCost":211572.98848008315,"quantityVariance":-5652.780000000001,"scheduleRows":1},{"code":"KQ-24-01","name":"Монтаж решетчатого настила, м2","unit":"ед.","quantity":2447.3,"laborHours":7411.485377288016,"machineHours":1101.5400632763294,"cost":317367.2295969598,"materialsCost":0,"materialsRows":2,"sourceRows":2,"sourceKeys":["auto-11a3ed4c","auto-0846db87"],"stableKey":"auto-aaaae2ec","rate":129.68055800145456,"scheduledQuantity":288.23,"scheduledCost":37377.82723275925,"quantityVariance":-2159.07,"scheduleRows":1},{"code":"KQ-60-01","name":"Монтаж приборов КИПиА, шт.","unit":"ед.","quantity":923,"laborHours":8286.764193903098,"machineHours":1225.1670596113029,"cost":313267.0289476179,"materialsCost":0,"materialsRows":38,"sourceRows":38,"sourceKeys":["auto-fbf12c64","auto-c2f98511","auto-c1f9837e","auto-bcf97b9f","auto-bbf97a0c","auto-bef7402e","auto-bff741c1","auto-bcf73d08","auto-bdf73e9b","auto-c1f744e7","auto-b6f73396","auto-b7f73529","auto-b0d6d679","auto-afd6d4e6","auto-aed6d353","auto-add6d1c0","auto-b2d6d99f","auto-b1d6d80c","auto-b8d6e311","auto-aad48e70","auto-abd49003","auto-acd49196","auto-7336b2c2","auto-e92f1dbf","auto-e62f1906","auto-e72f1a99","auto-e42f15e0","auto-e52f1773","auto-f22f2bea","auto-f32f2d7d","auto-694a2abc","auto-684a2929","auto-674a2796","auto-664a2603","auto-654a2470","auto-744a3c0d","auto-734a3a7a","auto-6947ec25"],"stableKey":"auto-711d7d34","rate":339.40089810142786,"scheduledQuantity":260,"scheduledCost":88244.23350637124,"quantityVariance":-663,"scheduleRows":1},{"code":"KQ-97-11","name":"Контурные тестирования КИПиА (технологические системы), шт.","unit":"ед.","quantity":984,"laborHours":6766.607754591638,"machineHours":105.11526806935612,"cost":312676.1213995962,"materialsCost":0,"materialsRows":4,"sourceRows":4,"sourceKeys":["auto-416f091b","auto-406f0788","auto-7bba8794","auto-6aa923b0"],"stableKey":"auto-b2abe653","rate":317.7602859751994,"scheduledQuantity":0,"scheduledCost":0,"quantityVariance":-984,"scheduleRows":0},{"code":"KQ-16-01","name":"Устройство безусадочной подливки, м3","unit":"ед.","quantity":61.14999999999999,"laborHours":8889.173066095556,"machineHours":616.542733722911,"cost":272405.15699837275,"materialsCost":0,"materialsRows":6,"sourceRows":6,"sourceKeys":["auto-5194a81f","auto-5294a9b2","auto-5394ab45","auto-20b22b94","auto-23b2304d","auto-22b22eba"],"stableKey":"auto-71a67987","rate":4454.7041209872905,"scheduledQuantity":128.18,"scheduledCost":571003.9742281509,"quantityVariance":67.03000000000002,"scheduleRows":1},{"code":"KQ-41-02","name":"Холодоизоляция технологических трубопроводов (пеностеклом), м2","unit":"ед.","quantity":950.17,"laborHours":9630.917394541917,"machineHours":144.88131954953042,"cost":234621.9184810058,"materialsCost":0,"materialsRows":7,"sourceRows":7,"sourceKeys":["auto-7912c0ce","auto-7a12c261","auto-7b12c3f4","auto-3cc73f2f","auto-3dc740c2","auto-3ec74255","auto-37c73750"],"stableKey":"auto-6da8f3f6","rate":246.92625370302767,"scheduledQuantity":7.52,"scheduledCost":1856.885427846768,"quantityVariance":-942.65,"scheduleRows":1},{"code":"KQ-27-02","name":"Монтаж статического колонного и емкостного оборудования, т","unit":"ед.","quantity":146.18999999999997,"laborHours":3754.2065126938405,"machineHours":339.8035406659816,"cost":213169.74666493083,"materialsCost":0,"materialsRows":11,"sourceRows":11,"sourceKeys":["auto-263fb46f","auto-233fafb6","auto-243fb149","auto-213fac90","auto-223fae23","auto-2f3fc29a","auto-5b9eb2c1","auto-2784810b","auto-2884829e","auto-2b848757","auto-2a8485c4"],"stableKey":"auto-b1586f52","rate":1458.1691406042196,"scheduledQuantity":95.28,"scheduledCost":138934.35571677005,"quantityVariance":-50.90999999999997,"scheduleRows":1},{"code":"KQ-58-01","name":"Монтаж щитового оборудования КИПиА, шт.","unit":"ед.","quantity":133,"laborHours":4835.53626858136,"machineHours":1159.5491679183433,"cost":212714.89217098305,"materialsCost":0,"materialsRows":8,"sourceRows":8,"sourceKeys":["auto-a4a9765f","auto-a3a974cc","auto-a7a97b18","auto-561a8106","auto-541a7de0","auto-5a1a8752","auto-f69911f7","auto-719c122f"],"stableKey":"auto-90ab64f5","rate":1599.3600915111508,"scheduledQuantity":114.99000000000001,"scheduledCost":183910.41692286724,"quantityVariance":-18.00999999999999,"scheduleRows":1},{"code":"KQ-04-02","name":"Транспортировка отходов на полигон или площадку складирования, т*км","unit":"ед.","quantity":44445.35566666667,"laborHours":0,"machineHours":1846.5046302781961,"cost":211201.05311074646,"materialsCost":0,"materialsRows":4,"sourceRows":4,"sourceKeys":["auto-7d1a9ea0","auto-759582ec","auto-7695847f","auto-77958612"],"stableKey":"auto-c445b657","rate":4.751926268623473,"scheduledQuantity":0,"scheduledCost":0,"quantityVariance":-44445.35566666667,"scheduleRows":0},{"code":"KQ-59-01","name":"Монтаж оконечных и распределительных устройств силовых сетей, шт.","unit":"ед.","quantity":2214,"laborHours":6073.916706432307,"machineHours":493.88175333716185,"cost":202423.94922836893,"materialsCost":0,"materialsRows":10,"sourceRows":10,"sourceKeys":["auto-def283f1","auto-dbf27f38","auto-dff4c41b","auto-e0f4c5ae","auto-b068af9d","auto-ae68ac77","auto-ad68aae4","auto-a4689cb9","auto-f618c6cd","auto-f418c3a7"],"stableKey":"auto-76490df4","rate":91.42906469212689,"scheduledQuantity":1502.25,"scheduledCost":137349.3124337476,"quantityVariance":-711.75,"scheduleRows":1},{"code":"KQ-69-02","name":"Отделка стен, м2","unit":"ед.","quantity":1403.11,"laborHours":5119.184486442122,"machineHours":253.6147846241882,"cost":193699.43090982776,"materialsCost":0,"materialsRows":3,"sourceRows":3,"sourceKeys":["auto-c292da43","auto-cf92eeba","auto-d092f04d"],"stableKey":"auto-4fd4ab04","rate":138.05006799882244,"scheduledQuantity":1826.5,"scheduledCost":252148.4491998492,"quantityVariance":423.3900000000001,"scheduleRows":1},{"code":"KQ-69-03","name":"Устройство полов, м2","unit":"ед.","quantity":202.42,"laborHours":4651.033401190371,"machineHours":269.6610871200631,"cost":184856.27809654924,"materialsCost":0,"materialsRows":9,"sourceRows":9,"sourceKeys":["auto-1c9b4bec","auto-9393b87c","auto-9493ba0f","auto-8f93b230","auto-9093b3c3","auto-9193b556","auto-9395f713","auto-9295f580","auto-86a993d7"],"stableKey":"auto-50d4ac97","rate":913.231291851345,"scheduledQuantity":2597.95,"scheduledCost":2372529.2346652015,"quantityVariance":2395.5299999999997,"scheduleRows":1},{"code":"KQ-27-13","name":"Монтаж насосов, т","unit":"ед.","quantity":33.300000000000004,"laborHours":3544.2190228383965,"machineHours":392.37929332877485,"cost":163144.15781365774,"materialsCost":0,"materialsRows":6,"sourceRows":6,"sourceKeys":["auto-4bb442c9","auto-4ab44136","auto-55b45287","auto-54b450f4","auto-a4549101","auto-a3548f6e"],"stableKey":"auto-b25aaf7c","rate":4899.223958368099,"scheduledQuantity":47.44,"scheduledCost":232419.18458498263,"quantityVariance":14.139999999999993,"scheduleRows":1},{"code":"KQ-03-25","name":"Демонтаж кабелей и проводов, м","unit":"ед.","quantity":23352,"laborHours":622.6354198184681,"machineHours":1220.7997180414507,"cost":156970.72002974167,"materialsCost":0,"materialsRows":9,"sourceRows":9,"sourceKeys":["auto-d07623c6","auto-cf762233","auto-ce7620a0","auto-d5762ba5","auto-d4762a12","auto-148cac01","auto-138caa6e","auto-168caf27","auto-158cad94"],"stableKey":"auto-6b30e4bf","rate":6.721939021486025,"scheduledQuantity":32024,"scheduledCost":215263.37522406847,"quantityVariance":8672,"scheduleRows":1},{"code":"KQ-64-02","name":"Монтаж стальных трубопроводов внутренних инженерных сетей, м","unit":"ед.","quantity":815.79,"laborHours":4976.549576036042,"machineHours":254.5068443920846,"cost":153771.38699883904,"materialsCost":0,"materialsRows":6,"sourceRows":6,"sourceKeys":["auto-58ced946","auto-63ceea97","auto-62cee904","auto-55cc95f6","auto-a21eec8a","auto-a11eeaf7"],"stableKey":"auto-f25745c9","rate":188.49383664771455,"scheduledQuantity":183.48000000000002,"scheduledCost":34584.84914812267,"quantityVariance":-632.31,"scheduleRows":1},{"code":"KQ-69-06","name":"Устройство фальшпола, м2","unit":"ед.","quantity":700,"laborHours":4079.8652356650687,"machineHours":194.67378994122043,"cost":152689.30106327363,"materialsCost":0,"materialsRows":2,"sourceRows":2,"sourceKeys":["auto-a27e91ca","auto-a17e9037"],"stableKey":"auto-4bd4a4b8","rate":218.12757294753376,"scheduledQuantity":301.59999999999997,"scheduledCost":65787.27600097617,"quantityVariance":-398.40000000000003,"scheduleRows":1},{"code":"KQ-35-02","name":"Неразрушающий контроль стыков (все виды, кроме РК), стык","unit":"ед.","quantity":2316.5,"laborHours":2980.810272787914,"machineHours":191.76085212408208,"cost":150869.71597148935,"materialsCost":0,"materialsRows":5,"sourceRows":5,"sourceKeys":["auto-121298b9","auto-11129726","auto-dbc7208c","auto-dec72545","auto-ddc723b2"],"stableKey":"auto-627a8633","rate":65.12830389444824,"scheduledQuantity":42,"scheduledCost":2735.388763566826,"quantityVariance":-2274.5,"scheduleRows":1},{"code":"KQ-19-01","name":"Монтаж трубопроводов подземных сетей (стальные), м","unit":"ед.","quantity":391.3,"laborHours":3840.397816833501,"machineHours":600.061622083891,"cost":148539.94394999195,"materialsCost":0,"materialsRows":7,"sourceRows":7,"sourceKeys":["auto-c154ecb5","auto-ba54e1b0","auto-bb54e343","auto-bc54e4d6","auto-bd54e669","auto-c654f494","auto-c754f627"],"stableKey":"auto-769cbd58","rate":379.6062968310553,"scheduledQuantity":9,"scheduledCost":3416.456671479498,"quantityVariance":-382.3,"scheduleRows":1},{"code":"KQ-71-02","name":"Устройство щебеночных оснований и покрытий, м3","unit":"ед.","quantity":1694.5700000000002,"laborHours":1755.9676635621556,"machineHours":981.0673531072596,"cost":141305.29953486097,"materialsCost":0,"materialsRows":4,"sourceRows":4,"sourceKeys":["auto-0631d790","auto-1531ef2d","auto-b1d3b62a","auto-b2d3b7bd"],"stableKey":"auto-4049dd7b","rate":83.38711268042097,"scheduledQuantity":1174.96,"scheduledCost":97976.52191498743,"quantityVariance":-519.6100000000001,"scheduleRows":1},{"code":"KQ-71-05","name":"Устройство покрытий из сборных ж/б плит, м2","unit":"ед.","quantity":2039.184,"laborHours":3141.6000000000004,"machineHours":399.84000000000003,"cost":133209.9973188033,"materialsCost":0,"materialsRows":1,"sourceRows":1,"sourceKeys":["auto-3e3a99d6"],"stableKey":"auto-4549e55a","rate":65.32514835287218,"scheduledQuantity":0,"scheduledCost":0,"quantityVariance":-2039.184,"scheduleRows":0},{"code":"KQ-69-01","name":"Кладка стен и перегородок, м3","unit":"ед.","quantity":216.4,"laborHours":2568.668,"machineHours":263.5752,"cost":128527.4107153957,"materialsCost":216.4,"materialsRows":1,"sourceRows":1,"sourceKeys":["auto-6db5e2a4"],"stableKey":"auto-52d4afbd","rate":593.9344302929561,"scheduledQuantity":216.54,"scheduledCost":128610.5615356367,"quantityVariance":0.13999999999998636,"scheduleRows":1},{"code":"KQ-03-13","name":"Демонтаж инженерных и технологических трубопроводов, м","unit":"ед.","quantity":1807.9499999999998,"laborHours":1046.1076819959662,"machineHours":860.8764610286862,"cost":127594.55462912061,"materialsCost":0,"materialsRows":5,"sourceRows":5,"sourceKeys":["auto-43c0589e","auto-d0c64b5d","auto-c1c633c0","auto-c2c63553","auto-4fc951e1"],"stableKey":"auto-f938800e","rate":70.57416113781942,"scheduledQuantity":2439.21,"scheduledCost":172145.1995889805,"quantityVariance":631.2600000000002,"scheduleRows":1},{"code":"KQ-27-10","name":"Монтаж градирен, т","unit":"ед.","quantity":52,"laborHours":3518.697156083281,"machineHours":52.28555985444002,"cost":127518.3442454961,"materialsCost":0,"materialsRows":1,"sourceRows":1,"sourceKeys":["auto-92ea2c4e"],"stableKey":"auto-b55ab435","rate":2452.2758508749253,"scheduledQuantity":27.84,"scheduledCost":68271.35968835792,"quantityVariance":-24.16,"scheduleRows":1},{"code":"KQ-28-01","name":"Монтаж грузоподъемного оборудования, шт.","unit":"ед.","quantity":12,"laborHours":2429.9310552875118,"machineHours":297.59688486059684,"cost":125795.1019594951,"materialsCost":0,"materialsRows":1,"sourceRows":1,"sourceKeys":["auto-944c8ed4"],"stableKey":"auto-bb8bb8c0","rate":10482.925163291258,"scheduledQuantity":20,"scheduledCost":209658.50326582516,"quantityVariance":8,"scheduleRows":1},{"code":"KQ-01-01","name":"Демонтаж дорог, площадок и тротуаров, м3","unit":"ед.","quantity":638.9739999999999,"laborHours":3035.964338528466,"machineHours":267.5963653244128,"cost":116048.58488006162,"materialsCost":0,"materialsRows":3,"sourceRows":3,"sourceKeys":["auto-e860ea3f","auto-cb899a5c","auto-cc899bef"],"stableKey":"auto-41f98617","rate":181.61706873841757,"scheduledQuantity":1539.881,"scheduledCost":279668.67342598323,"quantityVariance":900.9070000000002,"scheduleRows":1},{"code":"KQ-97-19","name":"Дополнительная очистка трубопроводов, м","unit":"ед.","quantity":420,"laborHours":2484.287260548309,"machineHours":49.68311117390228,"cost":115765.77731298344,"materialsCost":0,"materialsRows":1,"sourceRows":1,"sourceKeys":["auto-7ee1ed87"],"stableKey":"auto-baabf2eb","rate":275.63280312615103,"schedu</t>
        </is>
      </c>
    </row>
    <row r="6">
      <c r="A6" t="inlineStr">
        <is>
          <t>ledQuantity":0,"scheduledCost":0,"quantityVariance":-420,"scheduleRows":0},{"code":"KQ-57-03","name":"Монтаж щитового оборудования РУ, ВРУ, шт.","unit":"ед.","quantity":56,"laborHours":2690.3023658487177,"machineHours":388.78837308663293,"cost":101099.27677741033,"materialsCost":0,"materialsRows":7,"sourceRows":7,"sourceKeys":["auto-659aa5af","auto-629aa0f6","auto-639aa289","auto-609a9dd0","auto-619a9f63","auto-6c9cef4b","auto-a31e8172"],"stableKey":"auto-894d88dc","rate":1805.3442281680416,"scheduledQuantity":60.01,"scheduledCost":108338.70713236417,"quantityVariance":4.009999999999998,"scheduleRows":1},{"code":"KQ-68-03","name":"Устройство вентилируемых фасадов с облицовкой, м2","unit":"ед.","quantity":616,"laborHours":2445.246316389977,"machineHours":121.14246312606387,"cost":92523.1003441091,"materialsCost":0,"materialsRows":1,"sourceRows":1,"sourceKeys":["auto-126c0182"],"stableKey":"auto-6075a4e2","rate":150.19983822095634,"scheduledQuantity":1891,"scheduledCost":284027.89407582843,"quantityVariance":1275,"scheduleRows":1},{"code":"KQ-12-01","name":"Устройство подбетонки, м3","unit":"ед.","quantity":261.27000000000004,"laborHours":2517.493912899533,"machineHours":192.21609016605294,"cost":87182.67313331421,"materialsCost":0,"materialsRows":4,"sourceRows":4,"sourceKeys":["auto-33284e38","auto-303992a0","auto-18198923","auto-9712024b"],"stableKey":"auto-0d54dc43","rate":333.6880358759681,"scheduledQuantity":66.11,"scheduledCost":22060.11605176025,"quantityVariance":-195.16000000000003,"scheduleRows":1},{"code":"KQ-18-02","name":"Монтаж сборных ж/б колодцев, м3","unit":"ед.","quantity":42.98,"laborHours":2077.2890936919007,"machineHours":223.70648857902395,"cost":78913.27901972814,"materialsCost":0,"materialsRows":1,"sourceRows":1,"sourceKeys":["auto-82a78b19"],"stableKey":"auto-47fb9440","rate":1836.046510463661,"scheduledQuantity":3.86,"scheduledCost":7087.139530389732,"quantityVariance":-39.12,"scheduleRows":1},{"code":"KQ-09-02","name":"Шпунтовое ограждение котлованов и траншей, т","unit":"ед.","quantity":71.8,"laborHours":1084.6025356551113,"machineHours":341.6177717633931,"cost":75135.30176957574,"materialsCost":0,"materialsRows":2,"sourceRows":2,"sourceKeys":["auto-5be93906","auto-7504b3e0"],"stableKey":"auto-d97f22f2","rate":1046.4526708854562,"scheduledQuantity":0,"scheduledCost":0,"quantityVariance":-71.8,"scheduleRows":0},{"code":"KQ-27-04","name":"Монтаж теплообменников, холодильников и пароводяных подогревателей, т","unit":"ед.","quantity":30.61,"laborHours":1109.1226473443714,"machineHours":255.13131820026905,"cost":75075.92460749373,"materialsCost":0,"materialsRows":7,"sourceRows":7,"sourceKeys":["auto-c18f6fe3","auto-c08f6e50","auto-c38f7309","auto-c28f7176","auto-c58f762f","auto-6d2c98b0","auto-702c9d69"],"stableKey":"auto-ab5865e0","rate":2452.660065582938,"scheduledQuantity":47.739999999999995,"scheduledCost":117089.99153092944,"quantityVariance":17.129999999999995,"scheduleRows":1},{"code":"KQ-51-01","name":"Монтаж проводника заземления (провод), м","unit":"ед.","quantity":2176,"laborHours":1936.8592980278527,"machineHours":294.3871143549641,"cost":73759.92508119931,"materialsCost":0,"materialsRows":5,"sourceRows":5,"sourceKeys":["auto-de90e8e3","auto-dd90e750","auto-608de3f2","auto-e73dffb3","auto-ec3e0792"],"stableKey":"auto-63a1327c","rate":33.897024393933506,"scheduledQuantity":6927.85,"scheduledCost":234833.50044751226,"quantityVariance":4751.85,"scheduleRows":1},{"code":"KQ-22-01","name":"Монтаж основных металлоконструкций зданий, т","unit":"ед.","quantity":27.119999999999997,"laborHours":1427.8546030536481,"machineHours":353.6940684470103,"cost":72174.89403293362,"materialsCost":0,"materialsRows":1,"sourceRows":1,"sourceKeys":["auto-c27e2ee2"],"stableKey":"auto-0ac61132","rate":2661.316151656845,"scheduledQuantity":1.86,"scheduledCost":4950.048042081731,"quantityVariance":-25.259999999999998,"scheduleRows":1},{"code":"KQ-67-01","name":"Монтаж кровли из профлиста, м2","unit":"ед.","quantity":366.78999999999996,"laborHours":693.3897475141806,"machineHours":227.052423455908,"cost":69799.5518249235,"materialsCost":0,"materialsRows":3,"sourceRows":3,"sourceKeys":["auto-95785226","auto-1f7b69fb","auto-8689ad2d"],"stableKey":"auto-af9f2143","rate":190.2984046046062,"scheduledQuantity":761.56,"scheduledCost":144923.6530106839,"quantityVariance":394.77,"scheduleRows":1},{"code":"KQ-97-14","name":"Конфигурирование и настройка оборудования, шт.","unit":"ед.","quantity":54,"laborHours":1544.5777178428673,"machineHours":5.961973340868274,"cost":69795.72083423608,"materialsCost":0,"materialsRows":11,"sourceRows":11,"sourceKeys":["auto-625b9e8e","auto-635ba021","auto-605b9b68","auto-b7fbe80d","auto-b4fbe354","auto-b5fbe4e7","auto-b2fbe02e","auto-b3fbe1c1","auto-b0fbdd08","auto-b1fbde9b","auto-aefbd9e2"],"stableKey":"auto-b5abeb0c","rate":1292.5133487821497,"scheduledQuantity":0,"scheduledCost":0,"quantityVariance":-54,"scheduleRows":0},{"code":"KQ-45-02","name":"Монтаж стальных кабелепроводов, м","unit":"ед.","quantity":3193.5,"laborHours":2122.7326412396496,"machineHours":103.53748103463398,"cost":68186.66118669258,"materialsCost":0,"materialsRows":6,"sourceRows":6,"sourceKeys":["auto-245cf583","auto-295cfd62","auto-2a5cfef5","auto-275cfa3c","auto-2469c176","auto-2b69cc7b"],"stableKey":"auto-5336fc3a","rate":21.351702266069385,"scheduledQuantity":789.81,"scheduledCost":16863.78796676426,"quantityVariance":-2403.69,"scheduleRows":1},{"code":"KQ-66-03","name":"Монтаж ворот на зданиях, м2","unit":"ед.","quantity":98.49,"laborHours":1739.949969928893,"machineHours":86.20065130472965,"cost":65836.13461858948,"materialsCost":0,"materialsRows":1,"sourceRows":1,"sourceKeys":["auto-112dfdfe"],"stableKey":"auto-5026f474","rate":668.4550169417147,"scheduledQuantity":130.27,"scheduledCost":87079.63505699718,"quantityVariance":31.780000000000015,"scheduleRows":1},{"code":"KQ-12-04","name":"Мощение, м3","unit":"ед.","quantity":152.74,"laborHours":1411.0453201475207,"machineHours":224.94809176636664,"cost":60478.90409708042,"materialsCost":0,"materialsRows":2,"sourceRows":2,"sourceKeys":["auto-81bec0b6","auto-b1940c79"],"stableKey":"auto-1054e0fc","rate":395.95982779285333,"scheduledQuantity":0,"scheduledCost":0,"quantityVariance":-152.74,"scheduleRows":0},{"code":"KQ-66-02","name":"Монтаж дверей, люков и решеток, м2","unit":"ед.","quantity":101.74,"laborHours":1557.3645388469608,"machineHours":77.15499864227945,"cost":58927.47676758556,"materialsCost":0,"materialsRows":3,"sourceRows":3,"sourceKeys":["auto-4bda0a1e","auto-4ada088b","auto-8597e322"],"stableKey":"auto-5126f607","rate":579.1967443246075,"scheduledQuantity":104.62,"scheduledCost":60595.56339124044,"quantityVariance":2.8800000000000097,"scheduleRows":1},{"code":"KQ-46-02","name":"Монтаж металлорукавов, м","unit":"ед.","quantity":3605,"laborHours":1726.3536273324282,"machineHours":82.04214615377224,"cost":55265.1441088312,"materialsCost":0,"materialsRows":7,"sourceRows":7,"sourceKeys":["auto-26e4cf2e","auto-27e4d0c1","auto-24e4cc08","auto-77483701","auto-7648356e","auto-754833db","auto-74483248"],"stableKey":"auto-b263be0d","rate":15.330137062089099,"scheduledQuantity":16632.86,"scheduledCost":254984.0235345393,"quantityVariance":13027.86,"scheduleRows":1},{"code":"KQ-60-03","name":"Монтаж приборов охранно-пожарной сигнализации, оповещения и связи, шт.","unit":"ед.","quantity":491,"laborHours":1450.1063738244966,"machineHours":171.89265490243412,"cost":51959.325030317326,"materialsCost":0,"materialsRows":17,"sourceRows":17,"sourceKeys":["auto-79b76cde","auto-7ab76e71","auto-77b769b8","auto-78b76b4b","auto-75b76692","auto-76b76825","auto-63b988d3","auto-62b98740","auto-65b98bf9","auto-64b98a66","auto-66b98d8c","auto-446bf644","auto-456bf7d7","auto-3a6be686","auto-486e3b27","auto-476e3994","auto-496e3cba"],"stableKey":"auto-731d805a","rate":105.82347256683774,"scheduledQuantity":476,"scheduledCost":50371.97294181476,"quantityVariance":-15,"scheduleRows":1},{"code":"KQ-71-11","name":"Устройство щебеночных оснований, м3","unit":"ед.","quantity":688,"laborHours":426.56,"machineHours":412.8,"cost":50760.83755462355,"materialsCost":0,"materialsRows":1,"sourceRows":1,"sourceKeys":["auto-0c44a8ab"],"stableKey":"auto-bd46d0ab","rate":73.78028714334818,"scheduledQuantity":0,"scheduledCost":0,"quantityVariance":-688,"scheduleRows":0},{"code":"KQ-62-01","name":"Монтаж воздуховодов, м2","unit":"ед.","quantity":398.82,"laborHours":1554.879004250178,"machineHours":123.47181637376858,"cost":50022.45102710006,"materialsCost":0,"materialsRows":9,"sourceRows":9,"sourceKeys":["auto-689aac31","auto-679aaa9e","auto-27601259","auto-266010c6","auto-25600f33","auto-6affce0b","auto-69ffcc78","auto-6cffd131","auto-6bffcf9e"],"stableKey":"auto-40935bde","rate":125.42613466501194,"scheduledQuantity":761.36,"scheduledCost":95494.4418885535,"quantityVariance":362.54,"scheduleRows":1},{"code":"KQ-63-07","name":"Монтаж устройств пожаротушения, шт.","unit":"ед.","quantity":431,"laborHours":1291.405665397549,"machineHours":109.3880255112884,"cost":48448.63442975661,"materialsCost":0,"materialsRows":3,"sourceRows":3,"sourceKeys":["auto-9d82d02a","auto-9e82d1bd","auto-41b79c32"],"stableKey":"auto-11f0bb61","rate":112.40982466300838,"scheduledQuantity":104,"scheduledCost":11690.621764952872,"quantityVariance":-327,"scheduleRows":1},{"code":"KQ-49-02","name":"Монтаж силового кабеля от 1 до 35 кВ, м","unit":"ед.","quantity":1936.0000000000002,"laborHours":1325.9889610254995,"machineHours":161.25266722807106,"cost":47786.03962878477,"materialsCost":0,"materialsRows":3,"sourceRows":3,"sourceKeys":["auto-502fec2e","auto-512fedc1","auto-f05ad4c6"],"stableKey":"auto-fb50333e","rate":24.682871709083038,"scheduledQuantity":1543.6799999999998,"scheduledCost":38102.4553998773,"quantityVariance":-392.3200000000004,"scheduleRows":1},{"code":"KQ-27-14","name":"Монтаж механических фильтров и циклонов, т","unit":"ед.","quantity":17.457,"laborHours":395.9873268861453,"machineHours":281.78056308878143,"cost":47446.58557356875,"materialsCost":0,"materialsRows":6,"sourceRows":6,"sourceKeys":["auto-1947b6d6","auto-1a47b869","auto-1747b3b0","auto-1847b543","auto-e2cc6efd","auto-cfdf7f51"],"stableKey":"auto-b15aade9","rate":2717.9117588112936,"scheduledQuantity":12.15,"scheduledCost":33022.62786955722,"quantityVariance":-5.307,"scheduleRows":1},{"code":"KQ-68-02","name":"Утепление фасадов, м3","unit":"ед.","quantity":93,"laborHours":1238.9465121869082,"machineHours":61.379923634585424,"cost":46879.19237407881,"materialsCost":0,"materialsRows":1,"sourceRows":1,"sourceKeys":["auto-dacfddb2"],"stableKey":"auto-6175a675","rate":504.07733735568615,"scheduledQuantity":1.8,"scheduledCost":907.339207240235,"quantityVariance":-91.2,"scheduleRows":1},{"code":"KQ-03-10","name":"Демонтаж инженерного и технологического оборудования, т","unit":"ед.","quantity":6.2700000000000005,"laborHours":954.4588681319823,"machineHours":162.64522506795288,"cost":45179.748079942874,"materialsCost":0,"materialsRows":3,"sourceRows":3,"sourceKeys":["auto-b5600395","auto-b4624099","auto-b3623f06"],"stableKey":"auto-f8387e7b","rate":7205.701448156758,"scheduledQuantity":34.91,"scheduledCost":251551.03755515238,"quantityVariance":28.639999999999997,"scheduleRows":1},{"code":"KQ-03-08","name":"Демонтаж черновой отделки, м2","unit":"ед.","quantity":700,"laborHours":1490.5723563289848,"machineHours":16.561037057967425,"cost":43398.70270085046,"materialsCost":0,"materialsRows":1,"sourceRows":1,"sourceKeys":["auto-fac9b269"],"stableKey":"auto-7a35798a","rate":61.99814671550065,"scheduledQuantity":504.45,"scheduledCost":31274.965110634304,"quantityVariance":-195.55,"scheduleRows":1},{"code":"KQ-11-07","name":"Испытание свай, шт.","unit":"ед.","quantity":36,"laborHours":6.892022026578843,"machineHours":860.9761981590342,"cost":42386.09969236437,"materialsCost":0,"materialsRows":7,"sourceRows":7,"sourceKeys":["auto-f43ea422","auto-ef3e9c43","auto-ee3e9ab0","auto-f13e9f69","auto-0e5a208f","auto-0b5a1bd6","auto-0c5a1d69"],"stableKey":"auto-530d0582","rate":1177.3916581212325,"scheduledQuantity":0,"scheduledCost":0,"quantityVariance":-36,"scheduleRows":0},{"code":"KQ-25-02","name":"Монтаж кровельных сэндвич панелей, м2","unit":"ед.","quantity":148,"laborHours":317.0551980091111,"machineHours":144.24678702912718,"cost":41055.119652904585,"materialsCost":0,"materialsRows":1,"sourceRows":1,"sourceKeys":["auto-6fe3e2bd"],"stableKey":"auto-e25d1974","rate":277.3994571142202,"scheduledQuantity":386.90999999999997,"scheduledCost":107328.62395206292,"quantityVariance":238.90999999999997,"scheduleRows":1},{"code":"KQ-11-01","name":"Погружение забивных свай (ж/б), м","unit":"ед.","quantity":329.4,"laborHours":871.8068528072539,"machineHours":334.95461073690205,"cost":40690.40982301068,"materialsCost":0,"materialsRows":2,"sourceRows":2,"sourceKeys":["auto-c606bfa4","auto-c906c45d"],"stableKey":"auto-4d0cfc10","rate":123.52887013664446,"scheduledQuantity":0,"scheduledCost":0,"quantityVariance":-329.4,"scheduleRows":0},{"code":"KQ-51-02","name":"Монтаж проводника заземления (полоса), м","unit":"ед.","quantity":3338,"laborHours":1198.3763443740584,"machineHours":104.9812075497639,"cost":40445.23037862451,"materialsCost":0,"materialsRows":6,"sourceRows":6,"sourceKeys":["auto-f27473c7","auto-f374755a","auto-f47476ed","auto-043482bb","auto-0534844e","auto-063485e1"],"stableKey":"auto-66a13735","rate":12.116605865375828,"scheduledQuantity":3357.6,"scheduledCost":40682.715853585876,"quantityVariance":19.59999999999991,"scheduleRows":1},{"code":"KQ-20-02","name":"Устройство открытого подземного перехода (футляра), м","unit":"ед.","quantity":58,"laborHours":1134.2072637729984,"machineHours":132.51341350513087,"cost":39630.385148299334,"materialsCost":0,"materialsRows":2,"sourceRows":2,"sourceKeys":["auto-6a3a020d","auto-6739fd54"],"stableKey":"auto-681c4841","rate":683.2825025568851,"scheduledQuantity":5.1,"scheduledCost":3484.740763040114,"quantityVariance":-52.9,"scheduleRows":1},{"code":"KQ-71-01","name":"Укладка геоматериалов, м2","unit":"ед.","quantity":4098.2,"laborHours":724.449694262379,"machineHours":249.8019118344905,"cost":39564.90928606754,"materialsCost":0,"materialsRows":3,"sourceRows":3,"sourceKeys":["auto-c9a5ac91","auto-a784d3f1","auto-e1bf62c4"],"stableKey":"auto-4149df0e","rate":9.654216311079875,"scheduledQuantity":5498.860000000001,"scheduledCost":53087.18390434468,"quantityVariance":1400.6600000000008,"scheduleRows":1},{"code":"KQ-62-05","name":"Тепловая изоляция воздуховодов, м2","unit":"ед.","quantity":378,"laborHours":1562.3594168357486,"machineHours":33.39558039446361,"cost":38793.28581337868,"materialsCost":0,"materialsRows":3,"sourceRows":3,"sourceKeys":["auto-9897e369","auto-9797e1d6","auto-a297f327"],"stableKey":"auto-4493622a","rate":102.62774024703354,"scheduledQuantity":339.19,"scheduledCost":34810.30321439131,"quantityVariance":-38.81,"scheduleRows":1},{"code":"KQ-67-04","name":"Устройство покрытий кровли из ПВХ мембраны или наплавляемых материалов, м2","unit":"ед.","quantity":855.45,"laborHours":948.6724663607251,"machineHours":46.99915853241498,"cost":35895.8184336912,"materialsCost":0,"materialsRows":3,"sourceRows":3,"sourceKeys":["auto-6393f4b8","auto-6493f64b","auto-6593f7de"],"stableKey":"auto-b29f25fc","rate":41.96132846302087,"scheduledQuantity":6098.22,"scheduledCost":255889.41245976315,"quantityVariance":5242.77,"scheduleRows":1},{"code":"KQ-12-03","name":"Утепление строительных конструкций ниже 0, м3","unit":"ед.","quantity":74.1,"laborHours":1139.0102191433916,"machineHours":59.83566432103322,"cost":35741.18806736075,"materialsCost":0,"materialsRows":2,"sourceRows":2,"sourceKeys":["auto-38082623","auto-5c04bb68"],"stableKey":"auto-0f54df69","rate":482.33722088206144,"scheduledQuantity":22.919999999999998,"scheduledCost":11055.169102616848,"quantityVariance":-51.17999999999999,"scheduleRows":1},{"code":"KQ-50-01","name":"Монтаж греющего кабеля, м","unit":"ед.","quantity":3375.54,"laborHours":1023.3355439672033,"machineHours":105.7026416474105,"cost":35617.84071969462,"materialsCost":0,"materialsRows":2,"sourceRows":2,"sourceKeys":["auto-f7b0fcab","auto-bbb71208"],"stableKey":"auto-5800407d","rate":10.551746007955652,"scheduledQuantity":1113,"scheduledCost":11744.09330685464,"quantityVariance":-2262.54,"scheduleRows":1},{"code":"KQ-61-02","name":"Монтаж основного оборудования кондиционирования, шт.","unit":"ед.","quantity":6,"laborHours":803.8108769522502,"machineHours":136.21592872573154,"cost":31216.894210433944,"materialsCost":0,"materialsRows":5,"sourceRows":5,"sourceKeys":["auto-ae2943df","auto-af294572","auto-a9293c00","auto-f1db9680","auto-00dbae1d"],"stableKey":"auto-887fcf7c","rate":5202.81570173899,"scheduledQuantity":7,"scheduledCost":36419.70991217293,"quantityVariance":1,"scheduleRows":1},{"code":"KQ-59-02","name":"Монтаж оконечных и распределительных устройств слаботочных сетей, шт.","unit":"ед.","quantity":485,"laborHours":894.0364595486095,"machineHours":87.53430580720577,"cost":30793.69506767687,"materialsCost":0,"materialsRows":9,"sourceRows":9,"sourceKeys":["auto-75302048","auto-763021db","auto-7730236e","auto-f4967860","auto-fe98c6b5","auto-1eb4a60f","auto-1db4a47c","auto-20b4a935","auto-b230e3f2"],"stableKey":"auto-794912ad","rate":63.49215477871519,"scheduledQuantity":268,"scheduledCost":17015.897480695672,"quantityVariance":-217,"scheduleRows":1},{"code":"KQ-48-05","name":"Расключение оптического кабеля, шт. (конец кабеля)","unit":"ед.","quantity":22.833333333333332,"laborHours":975.7275548744321,"machineHours":29.791689158651344,"cost":29184.259049806595,"materialsCost":0,"materialsRows":5,"sourceRows":5,"sourceKeys":["auto-7472cc91","auto-7372cafe","auto-bf3ba72f","auto-be3ba59c","auto-4138a23e"],"stableKey":"auto-3284a216","rate":1278.1427321083181,"scheduledQuantity":96.52,"scheduledCost":123366.33650309486,"quantityVariance":73.68666666666667,"scheduleRows":1},{"code":"KQ-60-02","name":"Монтаж импульсных трубок, м","unit":"ед.","quantity":1757,"laborHours":573.440883069007,"machineHours":182.3828300642238,"cost":28244.7656123119,"materialsCost":0,"materialsRows":2,"sourceRows":2,"sourceKeys":["auto-f51d88ee","auto-a1a2136e"],"stableKey":"auto-741d81ed","rate":16.07556380894246,"scheduledQuantity":1697,"scheduledCost":27280.23178377535,"quantityVariance":-60,"scheduleRows":1},{"code":"KQ-60-07","name":"Монтаж мультимедийного оборудования и оргтехники, шт.","unit":"ед.","quantity":28,"laborHours":916.7181874803643,"machineHours":26.483127188615526,"cost":27317.891097582695,"materialsCost":0,"materialsRows":3,"sourceRows":3,"sourceKeys":["auto-17ff2847","auto-548bc2b3","auto-eacd10f9"],"stableKey":"auto-6f1d7a0e","rate":975.6389677708105,"scheduledQuantity":13,"scheduledCost":12683.306581020537,"quantityVariance":-15,"scheduleRows":1},{"code":"KQ-27-11","name":"Монтаж газодувок, вентиляторов и дымососов, т","unit":"ед.","quantity":10,"laborHours":556.7030275738507,"machineHours":51.57580112338428,"cost":26362.18762509642,"materialsCost":0,"materialsRows":1,"sourceRows":1,"sourceKeys":["auto-335c460c"],"stableKey":"auto-b45ab2a2","rate":2636.218762509642,"scheduledQuantity":0,"scheduledCost":0,"quantityVariance":-10,"scheduleRows":0},{"code":"KQ-50-02","name":"Расключение греющего кабеля, шт. (конец кабеля)","unit":"ед.","quantity":546,"laborHours":722.2323474255745,"machineHours":46.408373108652455,"cost":23240.90577024851,"materialsCost":0,"materialsRows":4,"sourceRows":4,"sourceKeys":["auto-704e89a3","auto-6f4e8810","auto-77959e48","auto-76959cb5"],"stableKey":"auto-55003bc4","rate":42.565761483971635,"scheduledQuantity":146,"scheduledCost":6214.6011766598585,"quantityVariance":-400,"scheduleRows":1},{"code":"KQ-55-01","name":"Монтаж ИБП, шт.","unit":"ед.","quantity":5,"laborHours":525.6042046960065,"machineHours":105.11526806935612,"cost":21713.538631807794,"materialsCost":0,"materialsRows":4,"sourceRows":4,"sourceKeys":["auto-5d9e88ee","auto-5e9e8a81","auto-6b01eef9","auto-6a01ed66"],"stableKey":"auto-1e129318","rate":4342.707726361559,"scheduledQuantity":6,"scheduledCost":26056.246358169356,"quantityVariance":1,"scheduleRows":1},{"code":"KQ-27-19","name":"Монтаж ВКУ технологического оборудования, т","unit":"ед.","quantity":1.4,"laborHours":526.702023066382,"machineHours":36.434281527528334,"cost":20905.46268238424,"materialsCost":0,"materialsRows":1,"sourceRows":1,"sourceKeys":["auto-037ec6c1"],"stableKey":"auto-bc5abf3a","rate":14932.473344560172,"scheduledQuantity":3.42,"scheduledCost":51069.05883839579,"quantityVariance":2.02,"scheduleRows":1},{"code":"KQ-68-05","name":"Облицовка фасадов плиткой, м2","unit":"ед.","quantity":86,"laborHours":559.1833735344535,"machineHours":26.383884501611572,"cost":20860.12531019461,"materialsCost":0,"materialsRows":1,"sourceRows":1,"sourceKeys":["auto-a232528b"],"stableKey":"auto-5a759b70","rate":242.55959663016986,"scheduledQuantity":42.84,"scheduledCost":10391.253119636478,"quantityVariance":-43.16,"scheduleRows":1},{"code":"KQ-69-04","name":"Устройство потолков, м2","unit":"ед.","quantity":0,"laborHours":470.36423983562486,"machineHours":23.302798658022283,"cost":17797.61714347123,"materialsCost":0,"materialsRows":1,"sourceRows":1,"sourceKeys":["auto-21ecc123"],"stableKey":"auto-4dd4a7de","rate":0,"scheduledQuantity":979.44,"scheduledCost":0,"quantityVariance":979.44,"scheduleRows":1},{"code":"KQ-64-05","name":"Монтаж запорно-регулирующей и распределительной арматуры внутр. инженерных сетей, шт.","unit":"ед.","quantity":42,"laborHours":529.1859693022277,"machineHours":41.40677883486606,"cost":17145.12727219206,"materialsCost":0,"materialsRows":9,"sourceRows":9,"sourceKeys":["auto-01512f92","auto-00512dff","auto-f94ee463","auto-6bb58ba7","auto-6db58ecd","auto-3df0e03f","auto-3feea4ce","auto-42584782","auto-3d583fa3"],"stableKey":"auto-f357475c","rate":408.21731600457287,"scheduledQuantity":124,"scheduledCost":50618.947184567034,"quantityVariance":82,"scheduleRows":1},{"code":"KQ-60-04","name":"Монтаж оборудования оповещения и связи, шт.","unit":"ед.","quantity":83,"laborHours":436.2995821605115,"machineHours":71.07791996812296,"cost":16935.783344012285,"materialsCost":0,"materialsRows":6,"sourceRows":6,"sourceKeys":["auto-4ada15b7","auto-47da10fe","auto-48da1291","auto-ec4d45c5","auto-e94d410c","auto-ea4d429f"],"stableKey":"auto-6e1d787b","rate":204.04558245797935,"scheduledQuantity":35,"scheduledCost":7141.5953860292775,"quantityVariance":-48,"scheduleRows":1},{"code":"KQ-61-01","name":"Монтаж основного вентиляционного оборудования, шт.","unit":"ед.","quantity":10,"laborHours":466.55059723436244,"machineHours":42.52442739150821,"cost":15414.807402512588,"materialsCost":0,"materialsRows":6,"sourceRows":6,"sourceKeys":["auto-0943e2e1","auto-0843e14e","auto-8f63767e","auto-8e6374eb","auto-94637e5d","auto-cf50b729"],"stableKey":"auto-8b7fd435","rate":1541.4807402512588,"scheduledQuantity":11,"scheduledCost":16956.288142763846,"quantityVariance":1,"scheduleRows":1},{"code":"KQ-58-02","name":"Монтаж щитового оборудования телекоммуникационных сетей, шт.","unit":"ед.","quantity":2,"laborHours":451.6040683845305,"machineHours":40.537336197208404,"cost":15307.282996383792,"materialsCost":0,"materialsRows":8,"sourceRows":8,"sourceKeys":["auto-2c869a28","auto-bd0511e9","auto-ba050d30","auto-bb050ec3","auto-f7509062","auto-f6508ecf","auto-f3508a16","auto-f4508ba9"],"stableKey":"auto-8dab603c","rate":7653.641498191896,"scheduledQuantity":0,"scheduledCost":0,"quantityVariance":-2,"scheduleRows":0},{"code":"KQ-57-02","name":"Монтаж силовых шкафов электрообогрева, шт.","unit":"ед.","quantity":7,"laborHours":360.1979929008329,"machineHours":72.46773900403133,"cost":14909.410116664665,"materialsCost":0,"materialsRows":3,"sourceRows":3,"sourceKeys":["auto-28447761","auto-254472a8","auto-8f54f92a"],"stableKey":"auto-8a4d8a6f","rate":2129.915730952095,"scheduledQuantity":5.83,"scheduledCost":12417.408711450715,"quantityVariance":-1.17,"scheduleRows":1},{"code":"KQ-63-06","name":"Монтаж противопожарного оборудования, шт.","unit":"ед.","quantity":0,"laborHours":403.1632460888078,"machineHours":31.51476293252287,"cost":14836.397624783685,"materialsCost":0,"materialsRows":3,"sourceRows":3,"sourceKeys":["auto-2c70fd72","auto-61d84a89","auto-60d848f6"],"stableKey":"auto-10f0b9ce","rate":0,"scheduledQuantity":3,"scheduledCost":0,"quantityVariance":3,"scheduleRows":1},{"code":"KQ-05-01","name":"Расчистка и планировка площадки строительства, м2","unit":"ед.","quantity":1525,"laborHours":360.813149746302,"machineHours":17.168206596628796,"cost":12010.39658671297,"materialsCost":0,"materialsRows":1,"sourceRows":1,"sourceKeys":["auto-7e98811b"],"stableKey":"auto-dc6ab453","rate":7.875669892926537,"scheduledQuantity":3446,"scheduledCost":27139.55845102485,"quantityVariance":1921,"scheduleRows":1},{"code":"KQ-67-02","name":"Утепление кровли, м3","unit":"ед.","quantity":41.04,"laborHours":313.5761598904166,"machineHours":15.53519910534819,"cost":11865.078095647485,"materialsCost":0,"materialsRows":1,"sourceRows":1,"sourceKeys":["auto-00bea9a3"],"stableKey":"auto-b09f22d6","rate":289.11009004989,"scheduledQuantity":908.21,"scheduledCost":262572.67488421063,"quantityVariance":867.1700000000001,"scheduleRows":1},{"code":"KQ-67-03","name":"Устройство стяжки или цементно-стружечных плит на кровле, м2","unit":"ед.","quantity":119,"laborHours":309.87407563544235,"machineHours":15.490436673383229,"cost":11756.342106466458,"materialsCost":0,"materialsRows":2,"sourceRows":2,"sourceKeys":["auto-b61159fe","auto-b7115b91"],"stableKey":"auto-b19f2469","rate":98.7927908106425,"scheduledQuantity":2619.09,"scheduledCost":258747.21048424568,"quantityVariance":2500.09,"scheduleRows":1},{"code":"KQ-57-01","name":"Монтаж малых силовых шкафов, шт.","unit":"ед.","quantity":60,"laborHours":315.3714383934421,"machineHours":20.278786555263288,"cost":10149.363725990594,"materialsCost":0,"materialsRows":2,"sourceRows":2,"sourceKeys":["auto-dc820892","auto-9d06b28e"],"stableKey":"auto-8b4d8c02","rate":169.15606209984324,"scheduledQuantity":83,"scheduledCost":14039.953154286988,"quantityVariance":23,"scheduleRows":1},{"code":"KQ-71-04","name":"Устройство асфальтобетонных покрытий, м2","unit":"ед.","quantity":283.4,"laborHours":114.34146923466797,"machineHours":70.9552093838889,"cost":9867.377462590137,"materialsCost":0,"materialsRows":1,"sourceRows":1,"sourceKeys":["auto-82269fb3"],"stableKey":"auto-4649e6ed","rate":34.817845668984255,"scheduledQuantity":0,"scheduledCost":0,"quantityVariance":-283.4,"scheduleRows":0},{"code":"KQ-62-02","name":"Монтаж вентиляционных клапанов и заслонок, шт.","unit":"ед.","quantity":81,"laborHours":259.8434831996613,"machineHours":30.42047854208993,"cost":9083.794926716497,"materialsCost":0,"materialsRows":14,"sourceRows":14,"sourceKeys":["auto-57b9bf5f","auto-5cb9c73e","auto-5db9c8d1","auto-dabccc2f","auto-d9bcca9c","auto-dcbccf55","auto-dbbccdc2","auto-d6bcc5e3","auto-d5bcc450","auto-d8bcc909","auto-d7bcc776","auto-347d162a","auto-337d1497","auto-327d1304"],"stableKey":"auto-3f935a4b","rate":112.14561637921601,"scheduledQuantity":90,"scheduledCost":10093.105474129441,"quantityVariance":9,"scheduleRows":1},{"code":"KQ-56-02","name":"Монтаж осветительных приборов внутреннего исполнения (штучные), шт.","unit":"ед.","quantity":445,"laborHours":266.136223408941,"machineHours":14.1825959220038,"cost":8367.707830242034,"materialsCost":0,"materialsRows":5,"sourceRows":5,"sourceKeys":["auto-32e97e58","auto-35e98311","auto-34e9817e","auto-b8315957","auto-b73157c4"],"stableKey":"auto-c23587de","rate":18.803837820768617,"scheduledQuantity":238,"scheduledCost":4475.313401342931,"quantityVariance":-207,"scheduleRows":1},{"code":"KQ-67-07","name":"Устройство кровельной водосточной системы, м","unit":"ед.","quantity":134,"laborHours":202.3111723154663,"machineHours":10.022905900293948,"cost":7655.039400903016,"materialsCost":0,"materialsRows":4,"sourceRows":4,"sourceKeys":["auto-2d6dce7d","auto-2a70085b","auto-297006c8","auto-2c700b81"],"stableKey":"auto-b59f2ab5","rate":57.12715970823146,"scheduledQuantity":424,"scheduledCost":24221.91571629014,"quantityVariance":290,"scheduleRows":1},{"code":"KQ-64-01","name":"Монтаж пластиковых трубопроводов внутренних инженерных сетей, м","unit":"ед.","quantity":63,"laborHours":257.5709031736487,"machineHours":8.578777859111213,"cost":7618.754139200827,"materialsCost":0,"materialsRows":1,"sourceRows":1,"sourceKeys":["auto-f9b5820b"],"stableKey":"auto-ef574110","rate":120.93260538414012,"scheduledQuantity":121.09,"scheduledCost":14643.729185965527,"quantityVariance":58.09,"scheduleRows":1},{"code":"KQ-33-08","name":"Резьбовые соединения технологических трубопроводов, DI","unit":"ед.","quantity":96,"laborHours":175.70745137214976,"machineHours":7.081866194215442,"cost":7274.787708603866,"materialsCost":0,"materialsRows":2,"sourceRows":2,"sourceKeys":["auto-69dc0905","auto-458e6e97"],"stableKey":"auto-d5598db3","rate":75.77903863129028,"scheduledQuantity":156,"scheduledCost":11821.530026481283,"quantityVariance":60,"scheduleRows":1},{"code":"KQ-19-05","name":"Монтаж запорно-регулирующей арматуры наружн. инженерных сетей, шт.","unit":"ед.","quantity":5,"laborHours":244.17368366420754,"machineHours":5.732653306607042,"cost":7044.857455211009,"materialsCost":0,"materialsRows":2,"sourceRows":2,"sourceKeys":["auto-aa9f77ce","auto-ea50e7cc"],"stableKey":"auto-7a9cc3a4","rate":1408.971491042202,"scheduledQuantity":1,"scheduledCost":1408.971491042202,"quantityVariance":-4,"scheduleRows":1},{"code":"KQ-60-05","name":"Монтаж оборудования видеонаблюдения, шт.","unit":"ед.","quantity":51,"laborHours":195.17065995295903,"machineHours":21.912617976035044,"cost":6910.982956794656,"materialsCost":0,"materialsRows":4,"sourceRows":4,"sourceKeys":["auto-98bc5192","auto-99bc5325","auto-562fadb4","auto-572faf47"],"stableKey":"auto-6d1d76e8","rate":135.50946974107168,"scheduledQuantity":24,"scheduledCost":3252.22727378572,"quantityVariance":-27,"scheduleRows":1},{"code":"KQ-62-03","name":"Монтаж оконечны</t>
        </is>
      </c>
    </row>
    <row r="7">
      <c r="A7" t="inlineStr">
        <is>
          <t>х устройств воздухораспределения, шт.","unit":"ед.","quantity":48,"laborHours":221.71737056779017,"machineHours":9.743960095021508,"cost":6551.03300076511,"materialsCost":0,"materialsRows":3,"sourceRows":3,"sourceKeys":["auto-7ca60806","auto-1bffc68b","auto-12ffb860"],"stableKey":"auto-3e9358b8","rate":136.47985418260646,"scheduledQuantity":73,"scheduledCost":9963.02935533027,"quantityVariance":25,"scheduleRows":1},{"code":"KQ-27-03","name":"Монтаж динамического колонного и емкостного оборудования, т","unit":"ед.","quantity":10.9,"laborHours":135.3986020739042,"machineHours":12.353517944313062,"cost":6383.485648602716,"materialsCost":0,"materialsRows":1,"sourceRows":1,"sourceKeys":["auto-52173cf1"],"stableKey":"auto-b25870e5","rate":585.6408851929096,"scheduledQuantity":2.21,"scheduledCost":1294.2663562763303,"quantityVariance":-8.690000000000001,"scheduleRows":1},{"code":"KQ-43-01","name":"Изоляция запорной арматуры термочехлами, шт.","unit":"ед.","quantity":62,"laborHours":227.64056515674272,"machineHours":9.047158810809002,"cost":5961.75970163497,"materialsCost":0,"materialsRows":4,"sourceRows":4,"sourceKeys":["auto-d2741cb9","auto-d1741b26","auto-d0741993","auto-cf741800"],"stableKey":"auto-955630b1","rate":96.15741454249952,"scheduledQuantity":44,"scheduledCost":4230.926239869979,"quantityVariance":-18,"scheduleRows":1},{"code":"KQ-38-05","name":"Опознавательная окраска трубопроводов и оборудования, м2","unit":"ед.","quantity":38.559999999999995,"laborHours":159.65686127790462,"machineHours":22.609806506367622,"cost":5502.2112137951635,"materialsCost":0,"materialsRows":1,"sourceRows":1,"sourceKeys":["auto-13f0f208"],"stableKey":"auto-75d4896f","rate":142.69219952788288,"scheduledQuantity":124.92999999999999,"scheduledCost":17826.536487018406,"quantityVariance":86.37,"scheduleRows":1},{"code":"KQ-49-05","name":"Расключение силового кабеля от 1 до 35 кВ, шт. (конец кабеля)","unit":"ед.","quantity":13.200000000000001,"laborHours":139.95768608792545,"machineHours":7.236838672999241,"cost":4385.5618225564795,"materialsCost":0,"materialsRows":3,"sourceRows":3,"sourceKeys":["auto-8654cf8b","auto-8554cdf8","auto-d3f50c72"],"stableKey":"auto-fe5037f7","rate":332.23953201185446,"scheduledQuantity":16,"scheduledCost":5315.832512189671,"quantityVariance":2.799999999999999,"scheduleRows":1},{"code":"KQ-20-03","name":"Протаскивание труб в футляр, м","unit":"ед.","quantity":30,"laborHours":98.66476038205155,"machineHours":16.338042693981894,"cost":3803.488239394783,"materialsCost":0,"materialsRows":2,"sourceRows":2,"sourceKeys":["auto-961d088d","auto-871cf0f0"],"stableKey":"auto-671c46ae","rate":126.78294131315943,"scheduledQuantity":5.1,"scheduledCost":646.593000697113,"quantityVariance":-24.9,"scheduleRows":1},{"code":"KQ-67-08","name":"Устройство перильного ограждения кровли, м","unit":"ед.","quantity":49.02,"laborHours":74.39167145882281,"machineHours":3.685514320656047,"cost":2814.8281165033122,"materialsCost":0,"materialsRows":1,"sourceRows":1,"sourceKeys":["auto-3b0f076c"],"stableKey":"auto-b69f2c48","rate":57.42203420039396,"scheduledQuantity":49.02,"scheduledCost":2814.8281165033122,"quantityVariance":0,"scheduleRows":1},{"code":"KQ-46-01","name":"Монтаж пластиковых коробов, м","unit":"ед.","quantity":30,"laborHours":94.75781408091406,"machineHours":1.5120522566728867,"cost":2771.8229814168776,"materialsCost":0,"materialsRows":1,"sourceRows":1,"sourceKeys":["auto-e78d183b"],"stableKey":"auto-af63b954","rate":92.3940993805626,"scheduledQuantity":1,"scheduledCost":92.3940993805626,"quantityVariance":-29,"scheduleRows":1},{"code":"KQ-46-03","name":"Монтаж полимерных труб и гофр, м","unit":"ед.","quantity":55,"laborHours":86.13520789773096,"machineHours":3.4452256612430796,"cost":2700.7193107233275,"materialsCost":0,"materialsRows":1,"sourceRows":1,"sourceKeys":["auto-04a77204"],"stableKey":"auto-b163bc7a","rate":49.10398746769686,"scheduledQuantity":162,"scheduledCost":7954.845969766891,"quantityVariance":107,"scheduleRows":1},{"code":"KQ-03-26","name":"Демонтаж электроустановочных изделий и компонентов КИПиА и слаботочных систем, шт.","unit":"ед.","quantity":22,"laborHours":59.26326409734669,"machineHours":6.4218378520314765,"cost":2384.6873926765634,"materialsCost":0,"materialsRows":2,"sourceRows":2,"sourceKeys":["auto-13428eed","auto-63c0c585"],"stableKey":"auto-6c30e652","rate":108.39488148529834,"scheduledQuantity":36,"scheduledCost":3902.2157334707404,"quantityVariance":14,"scheduleRows":1},{"code":"KQ-63-01","name":"Монтаж блочных тепловых пунктов, компл.","unit":"ед.","quantity":1,"laborHours":68.59835440290358,"machineHours":6.806870134317033,"cost":2307.515191254119,"materialsCost":0,"materialsRows":1,"sourceRows":1,"sourceKeys":["auto-b9f5eb76"],"stableKey":"auto-13f0be87","rate":2307.515191254119,"scheduledQuantity":1,"scheduledCost":2307.515191254119,"quantityVariance":0,"scheduleRows":1},{"code":"KQ-48-03","name":"Монтаж и подключение патч-кордов, м","unit":"ед.","quantity":167.5,"laborHours":77.40751061867773,"machineHours":1.096599940387537,"cost":2230.041335019672,"materialsCost":0,"materialsRows":3,"sourceRows":3,"sourceKeys":["auto-7ceaf8b2","auto-a75dca99","auto-a85dcc2c"],"stableKey":"auto-3484a53c","rate":13.313679612057742,"scheduledQuantity":186,"scheduledCost":2476.34440784274,"quantityVariance":18.5,"scheduleRows":1},{"code":"KQ-39-02","name":"Гидроизоляция подземных трубопроводов, м2","unit":"ед.","quantity":26.770000000000003,"laborHours":74.18529878099297,"machineHours":0.47500603075905845,"cost":1978.3861784948817,"materialsCost":0,"materialsRows":2,"sourceRows":2,"sourceKeys":["auto-8bc28019","auto-88c27b60"],"stableKey":"auto-9498c2e7","rate":73.90310715333887,"scheduledQuantity":0,"scheduledCost":0,"quantityVariance":-26.770000000000003,"scheduleRows":0},{"code":"KQ-65-02","name":"Монтаж радиаторов, конвекторов и регистров, шт.","unit":"ед.","quantity":10,"laborHours":47.703973732066686,"machineHours":2.3633516345851673,"cost":1429.249787306926,"materialsCost":0,"materialsRows":2,"sourceRows":2,"sourceKeys":["auto-99ce82fc","auto-98ce8169"],"stableKey":"auto-60b580d8","rate":142.9249787306926,"scheduledQuantity":9,"scheduledCost":1286.3248085762334,"quantityVariance":-1,"scheduleRows":1},{"code":"KQ-03-12","name":"Демонтаж оборудования пожаротушения, шт.","unit":"ед.","quantity":20,"laborHours":22.33492546626289,"machineHours":6.179632685058702,"cost":1328.7274597863707,"materialsCost":0,"materialsRows":2,"sourceRows":2,"sourceKeys":["auto-968f4f05","auto-b496a20c"],"stableKey":"auto-fa3881a1","rate":66.43637298931853,"scheduledQuantity":0,"scheduledCost":0,"quantityVariance":-20,"scheduleRows":0},{"code":"KQ-68-07","name":"Устройство декоративных фасадных конструкций, м2","unit":"ед.","quantity":4,"laborHours":18.72753972817561,"machineHours":1.6121175913707813,"cost":863.3128041995774,"materialsCost":0,"materialsRows":1,"sourceRows":1,"sourceKeys":["auto-1fb5e4b9"],"stableKey":"auto-5c759e96","rate":215.82820104989435,"scheduledQuantity":4,"scheduledCost":863.3128041995774,"quantityVariance":0,"scheduleRows":1},{"code":"KQ-03-01","name":"Демонтаж элементов металлоконструкций, т","unit":"ед.","quantity":0.32,"laborHours":6.8159378477976835,"machineHours":5.278436968748986,"cost":793.528911007237,"materialsCost":0,"materialsRows":2,"sourceRows":2,"sourceKeys":["auto-2b0c4c72","auto-0a5c1232"],"stableKey":"auto-73356e85","rate":2479.7778468976153,"scheduledQuantity":20.75,"scheduledCost":51455.39032312552,"quantityVariance":20.43,"scheduleRows":1},{"code":"KQ-71-10","name":"Устройство элементов обеспечения БДД, шт.","unit":"ед.","quantity":5,"laborHours":20.89266111599312,"machineHours":2.0701296322459286,"cost":665.3179722285599,"materialsCost":0,"materialsRows":1,"sourceRows":1,"sourceKeys":["auto-5945cb9a"],"stableKey":"auto-bc46cf18","rate":133.063594445712,"scheduledQuantity":3,"scheduledCost":399.190783337136,"quantityVariance":-2,"scheduleRows":1},{"code":"KQ-03-18","name":"Демонтаж элементов воздухозабора и воздухораспредения, шт.","unit":"ед.","quantity":5,"laborHours":11.101713175559038,"machineHours":1.9051418570443734,"cost":527.0312657506828,"materialsCost":0,"materialsRows":2,"sourceRows":2,"sourceKeys":["auto-0932526e","auto-0a325401"],"stableKey":"auto-f03871e3","rate":105.40625315013656,"scheduledQuantity":19,"scheduledCost":2002.7188098525946,"quantityVariance":14,"scheduleRows":1},{"code":"KQ-03-16","name":"Демонтаж отопительных приборов, шт.","unit":"ед.","quantity":2,"laborHours":4.9411788721081145,"machineHours":0.7620567428177494,"cost":224.7485771415027,"materialsCost":0,"materialsRows":1,"sourceRows":1,"sourceKeys":["auto-027c78ad"],"stableKey":"auto-fe3887ed","rate":112.37428857075135,"scheduledQuantity":0,"scheduledCost":0,"quantityVariance":-2,"scheduleRows":0},{"code":"KQ-97-16","name":"Заправка систем тепло/холодоснабжения рабочими средами, кг","unit":"ед.","quantity":10,"laborHours":4.007849926678105,"machineHours":1.2406582618854451,"cost":197.20418042213328,"materialsCost":0,"materialsRows":1,"sourceRows":1,"sourceKeys":["auto-3be2e86e"],"stableKey":"auto-b7abee32","rate":19.72041804221333,"scheduledQuantity":0,"scheduledCost":0,"quantityVariance":-10,"scheduleRows":0},{"code":"KQ-44-01","name":"Монтаж вспомогательных опорных металлоконструкций для кабеленесущих систем и оборудования ЭОМ и КИПиА, т","unit":"ед.","quantity":0.01,"laborHours":2.9559469418724085,"machineHours":0.11823160941926629,"cost":92.68199592513757,"materialsCost":0,"materialsRows":1,"sourceRows":1,"sourceKeys":["auto-28b7aeaa"],"stableKey":"auto-f2333d7e","rate":9268.199592513756,"scheduledQuantity":13.86,"scheduledCost":128457.24635224066,"quantityVariance":13.85,"scheduleRows":1},{"code":"KQ-03-14","name":"Демонтаж ЗРА и встраиваемых линейных элементов, шт.","unit":"ед.","quantity":1,"laborHours":0.9463951468755463,"machineHours":0.29573280460656115,"cost":60.17761919468424,"materialsCost":0,"materialsRows":1,"sourceRows":1,"sourceKeys":["auto-567bbb1c"],"stableKey":"auto-fc3884c7","rate":60.17761919468424,"scheduledQuantity":33,"scheduledCost":1985.86143342458,"quantityVariance":32,"scheduleRows":1},{"code":"KQ-03-17","name":"Демонтаж воздуховодов, м2","unit":"ед.","quantity":4,"laborHours":1.6111430980409298,"machineHours":0.015241134856354989,"cost":46.60498432677472,"materialsCost":0,"materialsRows":1,"sourceRows":1,"sourceKeys":["auto-9af8d3e1"],"stableKey":"auto-fd38865a","rate":11.65124608169368,"scheduledQuantity":425.89000000000004,"scheduledCost":4962.149193732522,"quantityVariance":421.89000000000004,"scheduleRows":1},{"code":"KQ-03-27","name":"Демонтаж изоляции, м2","unit":"ед.","quantity":0.6,"laborHours":1.3415151206960867,"machineHours":0.007097587310557468,"cost":38.16583726630687,"materialsCost":0,"materialsRows":1,"sourceRows":1,"sourceKeys":["auto-7e093fb4"],"stableKey":"auto-6d30e7e5","rate":63.60972877717813,"scheduledQuantity":25.44,"scheduledCost":1618.2315000914116,"quantityVariance":24.84,"scheduleRows":1},{"code":"KQ-26-01","name":"HeavyLift статического колонного, теплообменного и емкостного оборудования, т","unit":"ед.","quantity":110.9,"laborHours":0,"machineHours":0,"cost":598721.5689267876,"materialsCost":0,"materialsRows":1,"sourceRows":1,"sourceKeys":["auto-54f1a35d"],"stableKey":"auto-7a20c196","rate":5398.751748663549,"rateSource":"KQ manual override","scheduledQuantity":0,"scheduledCost":0,"quantityVariance":-110.9,"scheduleRows":0},{"code":"KQ-37-02","name":"ОГЗ металлоконструкций (окрасочная), м2","unit":"ед.","quantity":3385.122,"laborHours":21655.973812,"machineHours":2872.1987649999996,"cost":2831554.572,"materialsCost":0,"materialsRows":6,"sourceRows":6,"sourceKeys":["auto-5a6c206f","auto-94eff779","auto-0a03dde5","auto-0703d92c","auto-0803dabf","auto-0d03e29e"],"stableKey":"auto-23ab0855","rate":836.4704645800064,"rateSource":"KQ manual override","scheduledQuantity":3008.5924999999997,"scheduledCost":2516598.7662069225,"quantityVariance":-376.5295000000001,"scheduleRows":1},{"code":"KQ-26-04","name":"HeavyLift блочных и комплектных установок, т","unit":"ед.","quantity":0,"laborHours":0,"machineHours":0,"cost":0,"materialsCost":0,"materialsRows":1,"sourceRows":1,"sourceKeys":["auto-c9f3a0c3"],"stableKey":"auto-7f20c975","rate":0,"scheduledQuantity":0,"scheduledCost":0,"quantityVariance":0,"scheduleRows":0},{"code":"KQ-111-11","name":"KQ-111-11","unit":"ед.","laborHours":0,"machineHours":0,"materialsCost":null,"sourceRows":0,"quantity":7234,"cost":1553839.45,"rate":214.7967168924523,"rateSource":"KQ manual override","scheduledQuantity":7193.6,"scheduledCost":1545161.6626375453,"quantityVariance":-40.399999999999636,"scheduleRows":4}],"exampleDescription":"Копия исходных BOQ и КСГ: BOQ!Y64 +5%, КСГ!Y5 +10%; другие исходные документы не изменены.","exampleEdits":{"boq":{"row":64,"column":"Y","factor":1.05},"ksg":{"row":5,"column":"Y","factor":1.1}}},{"id":"v_pilot_2026","name":"Пилот 2026 · BOQ/КСГ","created":"2026-09-22","drivers":{"revenue":[0,0,0,0,0,0,0,0,0,0,0,0],"materials":[0,0,0,0,0,0,0,0,0,0,0,0],"directPeople":[189.90322580645162,261.60714285714283,286.16129032258067,300.1333333333333,316.9032258064516,337.43333333333334,391.16129032258067,637.1404961777292,984.3750092735177,1035.8860961695739,897.9063647556046,896.4516714544739],"indirectPeople":[132.16129032258064,159.39285714285714,149.06451612903226,134.73333333333332,140.3548387096774,149.93333333333334,153.2258064516129,201.40332697824803,256.28461815241303,262.99014151058645,245.4750357357657,245.27618933925038],"equipmentHours":[6969.677419354838,9387.857142857141,8856.774193548386,7895.333333333333,6751.612903225807,7132.666666666667,8261.290322580646,14951.498256374407,23099.899195021524,24308.687414465505,21070.777210943455,21036.640557433133],"nrkVolume":[2580.86,2463.6,2611.81,1450.7,517.33,257.5,257.5,99.68,0,0,0,0],"payments":[1509602.2599999998,757302.57,0,0,0,0,0,0,0,0,0,0],"advances":[0,0,0,0,0,0,0,0,0,0,0,0],"advanceOffset":[0,0,855582.93,951327.04,283103.6583333334,1154294.63,477425.03,-356263.83,0,0,0,0],"factoring":[0,0,855793.4600000001,368843.94,1075924.21,1576418.9899999998,2192909.4,1640058.1000000003,0,0,0,0],"guaranteeRate":[0,0,0,0,0,0,0,0,0,0,0,0],"otherRevenue":[0,0,0,0,0,0,0,0,0,0,0,0],"scaffoldPeople":[15.935483870967742,24.857142857142858,23.06451612903226,27.8,26.161290322580644,31.266666666666666,34.483870967741936,53.277198682704416,56.065126438965336,48.59726764991146,48.518535476403784,36.761741907604325],"laborIntensity":[409.7039170506912,470.41129032258067,472.26236559139784,479.4365591397849,503.9494623655914,572.3612903225807,824.8501735970842,1239.05553493447,1348.2358407609522,1347.473505330072,1191.8999359677741,1178.4896027013285],"passivePeople":[71.70391705069122,24.554147465437836,13.972043010752657,16.76989247311826,20.53010752688175,53.72795698924733,245.97920585514856,347.23451309578843,51.51108689605621,0,0,0],"sourceDays":[28,31,30,31,30,31,31,30,31,30,31,31],"ksgRevenue":[3275654.1702132546,2013326.4625893368,1594546.781151427,1807406.4172689682,2587862.9859679937,3673215.3335956046,3205604.9487014287,4923965.106438276,7428732.284122966,8556529.652127374,7940044.421648627,7660652.4337143395],"ksgMaterialsRevenue":[191447.27324999997,98847.105875,81736.970125,118822.86812499998,187298.94249999998,307669.6691249999,179654.85325,305580.5165416666,511655.9329166666,553877.2146249999,310603.74504166667,192066.19537499998],"ks2Accepted":[1811955.9868027887,3128480.9998569707,2139559.2333517284,1636424.749295218,1786120.453657214,2509817.3290980915,3564680.0988328434,3252365.9871908464,4752129.090664592,7178255.566354496,8443749.915326932,8001692.944696502],"primaryExecuted":[1421531.7799999998,0,1639813.72258836,2003553.48,981266.75,4503276.25,1764521.6300000001,1306310.04,0,0,0,0],"primaryDeductions":[71108.875,0,11875,185520.625,0,85134.5,111190,0,0,0,0,0],"primaryAdvanceOffset":[0,0,855582.93,951327.04,283103.6583333334,1154294.63,477425.03,-356263.83,0,0,0,0],"primaryGuaranteeHold":[71076.59,0,81990.69,100177.68,49063.33,225163.82,88226.09000000001,65315.5,0,0,0,0],"paymentVat":[301920.45999999996,151460.51,0,0,0,0,0,0,0,0,0,0],"advanceVat":[0,0,0,0,0,0,0,0,0,0,0,0],"physicalVolume":[3185.8599999999997,1088.27,3582.7499999999995,3271.0800000000004,9522.839999999998,29722.550000000007,29936.079999999994,77461.05249999999,154808.91333333327,136962.69666666666,125749.28249999999,122014.1975],"boqRate":[0,0,0,0,0,0,0,0,0,0,0,0],"auxiliaryPeople":[0,0,0,0,0,0,0,0,0,0,0,0]},"parameters":{"payroll":{"value":1875,"method":"monthly","enabled":true,"lag":0,"cash":true,"vat":false,"rateCurrency":"USD","rateSource":"Исходная модель, Детальная модель!E25","rateNote":"ВКС; прочие категории E26:E29 требуют отдельных драйверов"},"payrollTax":{"value":13,"method":"rate","enabled":true,"lag":0,"cash":true,"vat":false,"rateCurrency":null,"rateSource":"Исходная модель, строка 48","rateNote":"Расчётное допущение приложения; проверьте формулу НДФЛ"},"insurance":{"value":30.9,"method":"rate","enabled":true,"lag":0,"cash":true,"vat":false,"rateCurrency":null,"rateSource":"Исходная модель, Детальная модель!F26:F29","rateNote":"Для ВКС F25 = 0,9%; нужен раздельный персонал"},"vacation":{"value":9.226190476190476,"method":"rate","enabled":true,"lag":0,"cash":false,"vat":false,"rateCurrency":null,"rateSource":"Исходная модель, Детальная модель!F50","rateNote":"Согласованные 8% годового ФОТ/мес.; F50 = 9,22619% на другой базе"},"subcontract":{"value":0,"method":"percentRevenue","enabled":true,"lag":0,"cash":true,"vat":true,"rateCurrency":null,"rateSource":"Исходная модель, Детальная модель!F51","rateNote":"Ставка отсутствует; факт только по первичке"},"equipment":{"value":62.5,"method":"unit","enabled":true,"lag":0,"cash":true,"vat":true,"rateCurrency":"USD","rateSource":"Исходная модель, Детальная модель!F52","rateNote":""},"scaffolding":{"value":0,"method":"manual","enabled":true,"lag":0,"cash":true,"vat":true,"rateCurrency":"USD","rateSource":"Исходная модель, Детальная модель!F53","rateNote":"Ставка отсутствует; факт по первичке"},"scaffoldLabor":{"value":18.75,"method":"unit","enabled":true,"lag":0,"cash":true,"vat":true,"rateCurrency":"USD","rateSource":"Исходная модель, Детальная модель!F54","rateNote":""},"projectMaterials":{"value":10,"method":"materials","enabled":true,"lag":0,"cash":true,"vat":true,"rateCurrency":null,"rateSource":"Исходная модель, Детальная модель!F55","rateNote":"F55=10%; проверить состав базы МТР"},"consumables":{"value":10,"method":"percentPayroll","enabled":true,"lag":0,"cash":true,"vat":true,"rateCurrency":null,"rateSource":"Исходная модель, Детальная модель!F56","rateNote":""},"nrk":{"value":50,"method":"unit","enabled":true,"lag":0,"cash":true,"vat":true,"rateCurrency":"USD","rateSource":"Исходная модель, Детальная модель!F57","rateNote":""},"otherDirect":{"value":0,"method":"manual","enabled":true,"lag":0,"cash":true,"vat":true,"rateCurrency":"USD","rateSource":"Исходная модель, Детальная модель!F58","rateNote":"Ставка отсутствует; факт по первичке"},"indirectPayroll":{"value":2718.75,"method":"monthly","enabled":true,"lag":0,"cash":true,"vat":false,"rateCurrency":"USD","rateSource":"Исходная модель, Детальная модель!E31","rateNote":"ВКС; прочие категории E32:E35 требуют отдельных драйверов"},"indirectTax":{"value":13,"method":"rate","enabled":true,"lag":0,"cash":true,"vat":false,"rateCurrency":null,"rateSource":"Исходная модель, строка 61","rateNote":"Расчётное допущение приложения; проверьте формулу НДФЛ"},"indirectInsurance":{"value":30.9,"method":"rate","enabled":true,"lag":0,"cash":true,"vat":false,"rateCurrency":null,"rateSource":"Исходная модель, Детальная модель!F32:F35","rateNote":"Для ВКС F31 = 0,9%; нужен раздельный персонал"},"indirectVacation":{"value":9.226190476190476,"method":"rate","enabled":true,"lag":0,"cash":false,"vat":false,"rateCurrency":null,"rateSource":"Исходная модель, Детальная модель!F63","rateNote":"Согласованные 8% годового ФОТ/мес.; F63 = 9,22619% на другой базе"},"food":{"value":8.125,"method":"day","enabled":true,"lag":0,"cash":true,"vat":true,"rateCurrency":"USD","rateSource":"Исходная модель, Детальная модель!F64","rateNote":""},"housing":{"value":6.25,"method":"day","enabled":true,"lag":0,"cash":true,"vat":true,"rateCurrency":"USD","rateSource":"Исходная модель, Детальная модель!F65","rateNote":""},"bus":{"value":7991.803278688525,"method":"unit","enabled":true,"lag":0,"cash":true,"vat":true,"rateCurrency":"USD","rateSource":"Исходная модель, Детальная модель!F66","rateNote":""},"car":{"value":3995.9016393442625,"method":"unit","enabled":true,"lag":0,"cash":true,"vat":true,"rateCurrency":"USD","rateSource":"Исходная модель, Детальная модель!F67","rateNote":""},"formwork":{"value":0,"method":"manual","enabled":true,"lag":0,"cash":true,"vat":true,"rateCurrency":"USD","rateSource":"Исходная модель, строка 53","rateNote":"Нет отдельной ставки; факт по первичке"},"ppe":{"value":375,"method":"annualPerPerson","enabled":true,"lag":0,"cash":true,"vat":true,"rateCurrency":"USD","rateSource":"Исходная модель, Детальная модель!F68","rateNote":""},"tickets":{"value":500,"method":"rotation","enabled":true,"lag":0,"cash":true,"vat":true,"rateCurrency":"USD","rateSource":"Исходная модель, Детальная модель!F69","rateNote":""},"permit":{"value":100,"method":"perPerson","enabled":true,"lag":0,"cash":true,"vat":true,"rateCurrency":"USD","rateSource":"Исходная модель, Детальная модель!F70","rateNote":""},"medical":{"value":37.5,"method":"perPerson","enabled":true,"lag":0,"cash":true,"vat":true,"rateCurrency":"USD","rateSource":"Исходная модель, Детальная модель!F71","rateNote":""},"vziz":{"value":20.833333333333336,"method":"annualPerPerson","enabled":true,"lag":0,"cash":true,"vat":true,"rateCurrency":"USD","rateSource":"Исходная модель, Детальная модель!F72","rateNote":""},"office":{"value":3750,"method":"monthly","enabled":true,"lag":0,"cash":true,"vat":true,"rateCurrency":"USD","rateSource":"Исходная модель, Детальная модель!F73","rateNote":""},"warehouse":{"value":10000,"method":"monthly","enabled":true,"lag":0,"cash":true,"vat":true,"rateCurrency":"USD","rateSource":"Исходная модель, Детальная модель!F74","rateNote":""},"internet":{"value":0,"method":"monthly","enabled":true,"lag":0,"cash":true,"vat":true,"rateCurrency":"USD","rateSource":"Исходная модель, строка 74","rateNote":"Нет ставки в исходной модели; первичка"},"waste":{"value":0,"method":"monthly","enabled":true,"lag":0,"cash":true,"vat":true,"rateCurrency":"USD","rateSource":"Исходная модель, строка 74","rateNote":"Нет ставки в исходной модели; первичка"},"safety":{"value":1,"method":"percentPayroll","enabled":true,"lag":0,"cash":true,"vat":true,"rateCurrency":null,"rateSource":"Исходная модель, Детальная модель!F75","rateNote":""},"accident":{"value":62.5,"method":"annualPerPerson","enabled":true,"lag":0,"cash":true,"vat":true,"rateCurrency":"USD","rateSource":"Исходная модель, Детальная модель!F76","rateNote":""},"it":{"value":0,"method":"manual","enabled":true,"lag":0,"cash":true,"vat":true,"rateCurrency":"USD","rateSource":"Исходная модель, строка 77","rateNote":"Нет ставки в исходной модели; первичка"},"containers":{"value":0,"method":"manual","enabled":true,"lag":0,"cash":true,"vat":true,"rateCurrency":"USD","rateSource":"Исходная модель, строка 77","rateNote":"Нет ставки в исходной модели; первичка"},"modularOffice":{"value":0,"method":"manual","enabled":true,"lag":0,"cash":true,"vat":true,"rateCurrency":"USD","rateSource":"Исходная модель, строка 77","rateNote":"Нет ставки в исходной модели; первичка"},"transport":{"value":0,"method":"manual","enabled":true,"lag":0,"cash":true,"vat":true,"rateCurrency":"USD","rateSource":"Исходная модель, строка 77","rateNote":"Нет ставки в исходной модели; первичка"},"otherIndirect":{"value":10,"method":"percentDirect","enabled":true,"lag":0,"cash":true,"vat":true,"rateCurrency":null,"rateSource":"Исходная модель, Детальная модель!F77","rateNote":"Базу прочих косвенных нужно сверить"}},"year":2026,"vatRate":22,"vacationBasis":"source","bindings":{},"manualCosts":{},"manualPayments":{},"dataMode":"source_partial","currency":"USD","fxRate":80,"fxRateSource":"Исходная модель, Детальная модель!E2; имитационный, подтвердить для договора","workItems":[{"sourceKind":"ksg","sourceRow":5,"sourceKey":"auto-354faac6","workId":"","name":"Демонтаж дорог, площадок и тротуаров","unit":"м3","kq1":"","kq2":"KQ-01-01","stableKey":"auto-c2627ef2","plannedQuantity":2256.46,"scheduleQuantity":1537.8799999999999,"volumes":[20.01,6.74,143.03,446.15,274.9,599.12,35.65,12.28,0,0,0,0],"matchRule":"exact","matchConfidence":1,"contractRate":180.1994067675495,"currentRate":0,"actualRate":0,"rate":180.1994067675495},{"sourceKind":"ksg","sourceRow":8,"sourceKey":"auto-d3ba77bf","workId":"","name":"Демонтаж элементов металлоконструкций","unit":"т","kq1":"","kq2":"KQ-03-01","stableKey":"auto-18aa5086","plannedQuantity":20.75,"scheduleQuantity":20.75,"volumes":[0.14,0,0,0.16,0,0,1.3,19.15,0,0,0,0],"matchRule":"exact","matchConfidence":1,"contractRate":2479.7778468976153,"currentRate":0,"actualRate":0,"rate":2479.7778468976153},{"sourceKind":"ksg","sourceRow":10,"sourceKey":"auto-1e17fbd2","workId":"","name":"Демонтаж кровельных покрытий","unit":"м2","kq1":"","kq2":"KQ-111-11","stableKey":"auto-736d9865","plannedQuantity":6445.75,"scheduleQuantity":6408.93,"volumes":[0,0,0,0,0,0,0,2136.31,2136.31,2136.31,0,0],"matchRule":"exact","matchConfidence":1,"contractRate":214.7967168924523,"currentRate":0,"actualRate":0,"rate":214.7967168924523},{"sourceKind":"ksg","sourceRow":11,"sourceKey":"auto-278a04e2","workId":"","name":"Демонтаж облицовки фасадов","unit":"м2","kq1":"","kq2":"KQ-111-11","stableKey":"auto-099d0434","plannedQuantity":0.72,"scheduleQuantity":0.72,"volumes":[0,0,0,0,0,0,0,0.72,0,0,0,0],"matchRule":"exact","matchConfidence":1,"contractRate":214.7967168924523,"currentRate":0,"actualRate":0,"rate":214.7967168924523},{"sourceKind":"ksg","sourceRow":12,"sourceKey":"auto-4fb56a14","workId":"","name":"Демонтаж легковозводимых перегородок","unit":"м2","kq1":"","kq2":"KQ-111-11","stableKey":"auto-d17fa40d","plannedQuantity":774.5,"scheduleQuantity":774.5,"volumes":[0,0,0,0,774.5,0,0,0,0,0,0,0],"matchRule":"exact","matchConfidence":1,"contractRate":214.7967168924523,"currentRate":0,"actualRate":0,"rate":214.7967168924523},{"sourceKind":"ksg","sourceRow":13,"sourceKey":"auto-d48dbedf","workId":"","name":"Демонтаж элементов заполнения проемов зданий и сооружений","unit":"м2","kq1":"","kq2":"KQ-111-11","stableKey":"auto-9b742e9b","plannedQuantity":13.77,"scheduleQuantity":9.45,"volumes":[0,0,0,0,9.45,0,0,0,0,0,0,0],"matchRule":"exact","matchConfidence":1,"contractRate":214.7967168924523,"currentRate":0,"actualRate":0,"rate":214.7967168924523},{"sourceKind":"ksg","sourceRow":14,"sourceKey":"auto-ea2d0f8a","workId":"","name":"Демонтаж черновой отделки","unit":"м2","kq1":"","kq2":"KQ-03-08","stableKey":"auto-8868b569","plannedQuantity":504.45,"scheduleQuantity":504.45,"volumes":[0,0,0,0,503.28,1.17,0,0,0,0,0,0],"matchRule":"exact","matchConfidence":1,"contractRate":61.99814671550065,"currentRate":0,"actualRate":0,"rate":61.99814671550065},{"sourceKind":"ksg","sourceRow":16,"sourceKey":"auto-b2e30ee9","workId":"","name":"Демонтаж инженерного и технологического оборудования","unit":"т","kq1":"","kq2":"KQ-03-10","stableKey":"auto-55c90949","plannedQuantity":71.6,"scheduleQuantity":34.91,"volumes":[0,0,0,0,0,0,0.3,22.47,10.14,2,0,0],"matchRule":"exact","matchConfidence":1,"contractRate":7205.701448156758,"currentRate":0,"actualRate":0,"rate":7205.701448156758},{"sourceKind":"ksg","sourceRow":17,"sourceKey":"auto-392f0bbd","workId":"","name":"Демонтаж инженерных и технологических трубопроводов","unit":"м","kq1":"","kq2":"KQ-03-13","stableKey":"auto-cc0b3eae","plannedQuantity":3490.03,"scheduleQuantity":2439.21,"volumes":[0,0,0,0,0,0,0,2230.61,34.5,150.5,23.6,0],"matchRule":"exact","matchConfidence":1,"contractRate":70.57416113781942,"currentRate":0,"actualRate":0,"rate":70.57416113781942},{"sourceKind":"ksg","sourceRow":18,"sourceKey":"auto-fc844a13","workId":"","name":"Демонтаж ЗРА и встраиваемых линейных элементов","unit":"шт.","kq1":"","kq2":"KQ-03-14","stableKey":"auto-f276eeb9","plannedQuantity":304,"scheduleQuantity":33,"volumes":[0,0,0,0,0,0,1,17,2,1,12,0],"matchRule":"exact","matchConfidence":1,"contractRate":60.17761919468424,"currentRate":0,"actualRate":0,"rate":60.17761919468424},{"sourceKind":"ksg","sourceRow":20,"sourceKey":"auto-423c47b3","workId":"","name":"Демонтаж воздуховодов","unit":"м2","kq1":"","kq2":"KQ-03-17","stableKey":"auto-89985a66","plannedQuantity":2413,"scheduleQuantity":425.89000000000004,"volumes":[0,0,0,0,0,0,129.54,98.78333333333335,98.78333333333335,98.78333333333335,0,0],"matchRule":"exact","matchConfidence":1,"contractRate":11.65124608169368,"currentRate":0,"actualRate":0,"rate":11.65124608169368},{"sourceKind":"ksg","sourceRow":21,"sourceKey":"auto-f0e34c47","workId":"","name":"Демонтаж элементов воздухозабора и воздухораспредения","unit":"шт.","kq1":"","kq2":"KQ-03-18","stableKey":"auto-e1428e17","plannedQuantity":233,"scheduleQuantity":19,"volumes":[0,0,0,0,0,0,2,17,0,0,0,0],"matchRule":"exact","matchConfidence":1,"contractRate":105.40625315013656,"currentRate":0,"actualRate":0,"rate":105.40625315013656},{"sourceKind":"ksg","sourceRow":23,"sourceKey":"auto-193923fc","workId":"","name":"Демонтаж кабелей и проводов","unit":"м","kq1":"","kq2":"KQ-03-25","stableKey":"auto-5c698f34","plannedQuantity":44114,"scheduleQuantity":32024,"volumes":[0,0,0,0,0,0,4800.24,1580.38,25615.38,28,0,0],"matchRule":"exact","matchConfidence":1,"contractRate":6.721939021486025,"currentRate":0,"actualRate":0,"rate":6.721939021486025},{"sourceKind":"ksg","sourceRow":24,"sourceKey":"auto-c4b21ffb","workId":"","name":"Демонтаж электроустановочных изделий и компонентов КИПиА и слаботочных систем","unit":"шт.","kq1":"","kq2":"KQ-03-26","stableKey":"auto-eded81fa","plannedQuantity":44,"scheduleQuantity":36,"volumes":[0,0,0,0,0,0,0,11.91,1</t>
        </is>
      </c>
    </row>
    <row r="8">
      <c r="A8" t="inlineStr">
        <is>
          <t>1.09,13,0,0],"matchRule":"exact","matchConfidence":1,"contractRate":108.39488148529834,"currentRate":0,"actualRate":0,"rate":108.39488148529834},{"sourceKind":"ksg","sourceRow":25,"sourceKey":"auto-705b870d","workId":"","name":"Демонтаж изоляции","unit":"м2","kq1":"","kq2":"KQ-03-27","stableKey":"auto-443435c5","plannedQuantity":74.31,"scheduleQuantity":25.44,"volumes":[0,0,0,0,0,0,0,25.44,0,0,0,0],"matchRule":"exact","matchConfidence":1,"contractRate":63.60972877717813,"currentRate":0,"actualRate":0,"rate":63.60972877717813},{"sourceKind":"ksg","sourceRow":26,"sourceKey":"auto-beb47559","workId":"","name":"Расчистка и планировка площадки строительства","unit":"м2","kq1":"","kq2":"KQ-05-01","stableKey":"auto-342c9105","plannedQuantity":3446,"scheduleQuantity":3446,"volumes":[0,0,0,0,0,3446,0,0,0,0,0,0],"matchRule":"exact","matchConfidence":1,"contractRate":7.875669892926537,"currentRate":0,"actualRate":0,"rate":7.875669892926537},{"sourceKind":"ksg","sourceRow":28,"sourceKey":"auto-5a9fd564","workId":"","name":"Разработка грунта с погрузкой","unit":"м3","kq1":"","kq2":"KQ-09-01","stableKey":"auto-5cca581c","plannedQuantity":11161.38,"scheduleQuantity":1807.6899999999998,"volumes":[116.06,63.76,119.24,133.35,246.07,1120.11,0,3.5,0,0,0,5.6],"matchRule":"exact","matchConfidence":1,"contractRate":82.71553086581841,"currentRate":0,"actualRate":0,"rate":82.71553086581841},{"sourceKind":"ksg","sourceRow":30,"sourceKey":"auto-701cd310","workId":"","name":"Обратная засыпка грунта с уплотнением","unit":"м3","kq1":"","kq2":"KQ-10-01","stableKey":"auto-e7274e25","plannedQuantity":9453.68,"scheduleQuantity":1894.8600000000001,"volumes":[117.13,27.01,184.57,120.64,334.32,1040.21,0,18.51,0,52.47,0,0],"matchRule":"exact","matchConfidence":1,"contractRate":68.54168299382033,"currentRate":0,"actualRate":0,"rate":68.54168299382033},{"sourceKind":"ksg","sourceRow":31,"sourceKey":"auto-211e0a13","workId":"","name":"Устройство подбетонки","unit":"м3","kq1":"","kq2":"KQ-12-01","stableKey":"auto-12587403","plannedQuantity":332.65,"scheduleQuantity":66.11,"volumes":[4.32,7.85,2.44,0.77,24.44,21.46,0,4.83,0,0,0,0],"matchRule":"exact","matchConfidence":1,"contractRate":333.6880358759681,"currentRate":0,"actualRate":0,"rate":333.6880358759681},{"sourceKind":"ksg","sourceRow":32,"sourceKey":"auto-c228a77c","workId":"","name":"Устройство монолитных конструкций ниже 0 (за исключением колодцев)","unit":"м3","kq1":"","kq2":"KQ-12-02","stableKey":"auto-53e20f97","plannedQuantity":1898.39,"scheduleQuantity":386.00000000000006,"volumes":[118.17,89.92,15.81,5.65,24.74,98.25,21.16,12.3,0,0,0,0],"matchRule":"exact","matchConfidence":1,"contractRate":1143.970036669567,"currentRate":0,"actualRate":0,"rate":1143.970036669567},{"sourceKind":"ksg","sourceRow":33,"sourceKey":"auto-2ec6247c","workId":"","name":"Утепление строительных конструкций ниже 0","unit":"м3","kq1":"","kq2":"KQ-12-03","stableKey":"auto-02074cc8","plannedQuantity":24.07,"scheduleQuantity":22.919999999999998,"volumes":[0,0,6.1,10.56,2.42,1.91,0,1.93,0,0,0,0],"matchRule":"exact","matchConfidence":1,"contractRate":482.33722088206144,"currentRate":0,"actualRate":0,"rate":482.33722088206144},{"sourceKind":"ksg","sourceRow":34,"sourceKey":"auto-0b3bcc8c","workId":"","name":"Устройство монолитных конструкций выше 0","unit":"м3","kq1":"","kq2":"KQ-13-01","stableKey":"auto-e2614a75","plannedQuantity":1018.54,"scheduleQuantity":352.45,"volumes":[199.58,2.38,0.08,94.32,37.27,8.63,1,8.93,0,0.26,0,0],"matchRule":"exact","matchConfidence":1,"contractRate":3254.213302200848,"currentRate":0,"actualRate":0,"rate":3254.213302200848},{"sourceKind":"ksg","sourceRow":36,"sourceKey":"auto-39699570","workId":"","name":"Устройство безусадочной подливки","unit":"м3","kq1":"","kq2":"KQ-16-01","stableKey":"auto-f7db543f","plannedQuantity":129.58,"scheduleQuantity":128.18,"volumes":[0,0,10.41,19.45,12.49,16.83,17.31,22.37,26,3.32,0,0],"matchRule":"exact","matchConfidence":1,"contractRate":4454.7041209872905,"currentRate":0,"actualRate":0,"rate":4454.7041209872905},{"sourceKind":"ksg","sourceRow":37,"sourceKey":"auto-b9393a14","workId":"","name":"Устройство монолитных колодцев","unit":"м3","kq1":"","kq2":"KQ-18-02","stableKey":"auto-a62a1299","plannedQuantity":4.37,"scheduleQuantity":3.86,"volumes":[0,0,0.72,0.95,0,2.19,0,0,0,0,0,0],"matchRule":"exact","matchConfidence":1,"contractRate":1836.046510463661,"currentRate":0,"actualRate":0,"rate":1836.046510463661},{"sourceKind":"ksg","sourceRow":38,"sourceKey":"auto-0a0241a9","workId":"","name":"Монтаж трубопроводов подземных сетей (пластиковые)","unit":"м","kq1":"","kq2":"KQ-19-01","stableKey":"auto-330d0363","plannedQuantity":9,"scheduleQuantity":9,"volumes":[0,0,0,0,0,0,0,0,0,3,0,6],"matchRule":"exact","matchConfidence":1,"contractRate":379.6062968310553,"currentRate":0,"actualRate":0,"rate":379.6062968310553},{"sourceKind":"ksg","sourceRow":39,"sourceKey":"auto-be667387","workId":"","name":"Монтаж запорно-регулирующей арматуры наружн. инженерных сетей","unit":"шт.","kq1":"","kq2":"KQ-19-05","stableKey":"auto-2b0bdce6","plannedQuantity":1,"scheduleQuantity":1,"volumes":[0,0,0,0,0,0,0,0,0,0,0,1],"matchRule":"exact","matchConfidence":1,"contractRate":1408.971491042202,"currentRate":0,"actualRate":0,"rate":1408.971491042202},{"sourceKind":"ksg","sourceRow":40,"sourceKey":"auto-a9dbfa8f","workId":"","name":"Устройство открытого подземного перехода (футляра)","unit":"м","kq1":"","kq2":"KQ-20-02","stableKey":"auto-234979cf","plannedQuantity":5.1,"scheduleQuantity":5.1,"volumes":[0,0,0,0,5.1,0,0,0,0,0,0,0],"matchRule":"exact","matchConfidence":1,"contractRate":683.2825025568851,"currentRate":0,"actualRate":0,"rate":683.2825025568851},{"sourceKind":"ksg","sourceRow":41,"sourceKey":"auto-10f6b037","workId":"","name":"Протаскивание труб в футляр","unit":"м","kq1":"","kq2":"KQ-20-03","stableKey":"auto-a278e614","plannedQuantity":5.1,"scheduleQuantity":5.1,"volumes":[0,0,0,0,5.1,0,0,0,0,0,0,0],"matchRule":"exact","matchConfidence":1,"contractRate":126.78294131315943,"currentRate":0,"actualRate":0,"rate":126.78294131315943},{"sourceKind":"ksg","sourceRow":42,"sourceKey":"auto-c6ed0b81","workId":"","name":"Монтаж основных металлоконструкций зданий","unit":"т","kq1":"","kq2":"KQ-22-01","stableKey":"auto-27d04a17","plannedQuantity":1.86,"scheduleQuantity":1.86,"volumes":[0,0,0,0,0,0,1.86,0,0,0,0,0],"matchRule":"exact","matchConfidence":1,"contractRate":2661.316151656845,"currentRate":0,"actualRate":0,"rate":2661.316151656845},{"sourceKind":"ksg","sourceRow":43,"sourceKey":"auto-e479151b","workId":"","name":"Монтаж основных металлоконструкций этажерок и структур","unit":"т","kq1":"","kq2":"KQ-22-02","stableKey":"auto-6c8b96f6","plannedQuantity":878.58,"scheduleQuantity":756.3600000000001,"volumes":[145.32,136,78.9,60.66,60.53,95.76,54.88,38.81666666666667,7.86,38.81666666666667,38.81666666666667,0],"matchRule":"exact","matchConfidence":1,"contractRate":2977.4962392927728,"currentRate":0,"actualRate":0,"rate":2977.4962392927728},{"sourceKind":"ksg","sourceRow":44,"sourceKey":"auto-3ee7a0a2","workId":"","name":"Монтаж основных металлоконструкций эстакад","unit":"т","kq1":"","kq2":"KQ-22-03","stableKey":"auto-718e5d8c","plannedQuantity":39.58,"scheduleQuantity":39.58,"volumes":[0,0,34.61,1.19,0,0,0,3.78,0,0,0,0],"matchRule":"exact","matchConfidence":1,"contractRate":3529.527375614721,"currentRate":0,"actualRate":0,"rate":3529.527375614721},{"sourceKind":"ksg","sourceRow":45,"sourceKey":"auto-74174871","workId":"","name":"Монтаж второстепенных металлоконструкций","unit":"т","kq1":"","kq2":"KQ-23-01","stableKey":"auto-28b5b412","plannedQuantity":255.01,"scheduleQuantity":244.95,"volumes":[34.44,37.27,48.37,39.61,14.07,9.04,7.39,17.296666666666667,2.87,17.296666666666667,17.296666666666667,0],"matchRule":"exact","matchConfidence":1,"contractRate":6065.087713652792,"currentRate":0,"actualRate":0,"rate":6065.087713652792},{"sourceKind":"ksg","sourceRow":46,"sourceKey":"auto-0eee9f5f","workId":"","name":"Монтаж металлоконструкций усиления","unit":"т","kq1":"","kq2":"KQ-23-02","stableKey":"auto-43630209","plannedQuantity":4.16,"scheduleQuantity":4.16,"volumes":[0,0,0,0,0,0,0,0.09,2.6,1.47,0,0],"matchRule":"exact","matchConfidence":1,"contractRate":11080.965152184348,"currentRate":0,"actualRate":0,"rate":11080.965152184348},{"sourceKind":"ksg","sourceRow":47,"sourceKey":"auto-2374ca6d","workId":"","name":"Монтаж решетчатого настила","unit":"м2","kq1":"","kq2":"KQ-24-01","stableKey":"auto-8e2cdbdf","plannedQuantity":288.23,"scheduleQuantity":288.23,"volumes":[0,0,0,0,0,182.39,3.36,34.160000000000004,34.160000000000004,34.160000000000004,0,0],"matchRule":"exact","matchConfidence":1,"contractRate":129.68055800145456,"currentRate":0,"actualRate":0,"rate":129.68055800145456},{"sourceKind":"ksg","sourceRow":48,"sourceKey":"auto-3c14607d","workId":"","name":"Монтаж стеновых сэндвич панелей","unit":"м2","kq1":"","kq2":"KQ-25-01","stableKey":"auto-06aa4a3e","plannedQuantity":2545.4,"scheduleQuantity":2545.4000000000005,"volumes":[0,0,0,0,1807.96,159.97,0,84.76,323.19,84.76,84.76,0],"matchRule":"exact","matchConfidence":1,"contractRate":318.09430051272454,"currentRate":0,"actualRate":0,"rate":318.09430051272454},{"sourceKind":"ksg","sourceRow":49,"sourceKey":"auto-1c959d05","workId":"","name":"Монтаж кровельных сэндвич панелей","unit":"м2","kq1":"","kq2":"KQ-25-02","stableKey":"auto-dbab5aa5","plannedQuantity":386.91,"scheduleQuantity":386.90999999999997,"volumes":[0,0,0,0,0,0,0,86.37666666666667,127.78,86.37666666666667,86.37666666666667,0],"matchRule":"exact","matchConfidence":1,"contractRate":277.3994571142202,"currentRate":0,"actualRate":0,"rate":277.3994571142202},{"sourceKind":"ksg","sourceRow":51,"sourceKey":"auto-379865e6","workId":"","name":"Монтаж статического колонного и емкостного оборудования","unit":"т","kq1":"","kq2":"KQ-27-02","stableKey":"auto-598d25d1","plannedQuantity":133.08,"scheduleQuantity":95.28,"volumes":[51.28,20.08,9.65,1.14,0.24,0,0,5.04,0,4.38,3.47,0],"matchRule":"exact","matchConfidence":1,"contractRate":1458.1691406042196,"currentRate":0,"actualRate":0,"rate":1458.1691406042196},{"sourceKind":"ksg","sourceRow":52,"sourceKey":"auto-a2456d56","workId":"","name":"Монтаж динамического колонного и емкостного оборудования","unit":"т","kq1":"","kq2":"KQ-27-03","stableKey":"auto-cf3b42c6","plannedQuantity":13.11,"scheduleQuantity":2.21,"volumes":[0,0,1.46,0,0,0,0,0.75,0,0,0,0],"matchRule":"exact","matchConfidence":1,"contractRate":585.6408851929096,"currentRate":0,"actualRate":0,"rate":585.6408851929096},{"sourceKind":"ksg","sourceRow":53,"sourceKey":"auto-10c8ff18","workId":"","name":"Монтаж теплообменников, холодильников и пароводяных подогревателей","unit":"т","kq1":"","kq2":"KQ-27-04","stableKey":"auto-689d51cd","plannedQuantity":47.74,"scheduleQuantity":47.739999999999995,"volumes":[19.98,13.68,3.29,9.81,0.98,0,0,0,0,0,0,0],"matchRule":"exact","matchConfidence":1,"contractRate":2452.660065582938,"currentRate":0,"actualRate":0,"rate":2452.660065582938},{"sourceKind":"ksg","sourceRow":54,"sourceKey":"auto-95a3a8b4","workId":"","name":"Монтаж блочных и комплектных установок","unit":"т","kq1":"","kq2":"KQ-27-05","stableKey":"auto-fec7646a","plannedQuantity":599.9,"scheduleQuantity":599.9100000000001,"volumes":[33.21,99.06,16.01,155.27,5.39,52.75,78.67,24.41333333333333,63.903333333333336,62.483333333333334,8.75,0],"matchRule":"exact","matchConfidence":1,"contractRate":3649.9857390280918,"currentRate":0,"actualRate":0,"rate":3649.9857390280918},{"sourceKind":"ksg","sourceRow":55,"sourceKey":"auto-f15f6851","workId":"","name":"Монтаж градирен","unit":"т","kq1":"","kq2":"KQ-27-10","stableKey":"auto-65656144","plannedQuantity":27.84,"scheduleQuantity":27.84,"volumes":[0,0,0,0,0,0,0,0,1.44,9.72,9,7.68],"matchRule":"exact","matchConfidence":1,"contractRate":2452.2758508749253,"currentRate":0,"actualRate":0,"rate":2452.2758508749253},{"sourceKind":"ksg","sourceRow":57,"sourceKey":"auto-f7aa4d30","workId":"","name":"Монтаж насосов","unit":"т","kq1":"","kq2":"KQ-27-13","stableKey":"auto-69e24529","plannedQuantity":51.01,"scheduleQuantity":47.44,"volumes":[11.4,0,5.09,0,1.9,5.84,23.21,0,0,0,0,0],"matchRule":"exact","matchConfidence":1,"contractRate":4899.223958368099,"currentRate":0,"actualRate":0,"rate":4899.223958368099},{"sourceKind":"ksg","sourceRow":58,"sourceKey":"auto-592fdc62","workId":"","name":"Монтаж механических фильтров и циклонов","unit":"т","kq1":"","kq2":"KQ-27-14","stableKey":"auto-8c113199","plannedQuantity":14.99,"scheduleQuantity":12.15,"volumes":[1.14,10.34,0.67,0,0,0,0,0,0,0,0,0],"matchRule":"exact","matchConfidence":1,"contractRate":2717.9117588112936,"currentRate":0,"actualRate":0,"rate":2717.9117588112936},{"sourceKind":"ksg","sourceRow":59,"sourceKey":"auto-a6476c94","workId":"","name":"Монтаж ВКУ технологического оборудования","unit":"т","kq1":"","kq2":"KQ-27-19","stableKey":"auto-ad0edfca","plannedQuantity":3.42,"scheduleQuantity":3.42,"volumes":[0,0,0,0,1.82,0,0,1.6,0,0,0,0],"matchRule":"exact","matchConfidence":1,"contractRate":14932.473344560172,"currentRate":0,"actualRate":0,"rate":14932.473344560172},{"sourceKind":"ksg","sourceRow":60,"sourceKey":"auto-049aa302","workId":"","name":"Монтаж грузоподъемного оборудования","unit":"шт.","kq1":"","kq2":"KQ-28-01","stableKey":"auto-c139fb77","plannedQuantity":20,"scheduleQuantity":20,"volumes":[0,0,0,0,0,0,0,14.28,5.72,0,0,0],"matchRule":"exact","matchConfidence":1,"contractRate":10482.925163291258,"currentRate":0,"actualRate":0,"rate":10482.925163291258},{"sourceKind":"ksg","sourceRow":62,"sourceKey":"auto-be95485f","workId":"","name":"Сварка технологических трубопроводов (черн. стали)","unit":"DI","kq1":"","kq2":"KQ-32-01","stableKey":"auto-c10d2dae","plannedQuantity":33998.31,"scheduleQuantity":29132.44,"volumes":[0,0,0,61.51,315.81,602.47,2738.83,3436.06,5925.43,6304,5198.92,4549.41],"matchRule":"exact","matchConfidence":1,"contractRate":158.23673819290477,"currentRate":0,"actualRate":0,"rate":158.23673819290477},{"sourceKind":"ksg","sourceRow":63,"sourceKey":"auto-5b23ee34","workId":"","name":"Монтаж технологических трубопроводов обвязки этажерок и структур (стальные)","unit":"м","kq1":"","kq2":"KQ-33-01","stableKey":"auto-a0558f66","plannedQuantity":32995.4,"scheduleQuantity":26919.370000000003,"volumes":[0,0,0,0,471.52,1955.43,2003.99,2134.58,3401.38,5662.71,5770.54,5519.22],"matchRule":"exact","matchConfidence":1,"contractRate":180.7700561307037,"currentRate":0,"actualRate":0,"rate":180.7700561307037,"originalKq2":"KQ-33-01","rateSource":"KQ KQ-33-01 × 50%"},{"sourceKind":"ksg","sourceRow":64,"sourceKey":"auto-1b97a0bb","workId":"","name":"Монтаж опор технологических трубопроводов","unit":"т","kq1":"","kq2":"KQ-33-06","stableKey":"auto-bb932eb4","plannedQuantity":57.83,"scheduleQuantity":33.25,"volumes":[0,0,0,0,0.07,0,0,1.61,4.68,4.91,7.9,14.08],"matchRule":"exact","matchConfidence":1,"contractRate":20340.94126598641,"currentRate":0,"actualRate":0,"rate":20340.94126598641},{"sourceKind":"ksg","sourceRow":65,"sourceKey":"auto-52119812","workId":"","name":"Монтаж арматуры технологических трубопроводов","unit":"шт.","kq1":"","kq2":"KQ-33-07","stableKey":"auto-13df87be","plannedQuantity":7250,"scheduleQuantity":4307.0599999999995,"volumes":[0,0,0,0,0,0,0,20.06,439.71,1050.3,1222.8,1574.19],"matchRule":"exact","matchConfidence":1,"contractRate":391.133611508341,"currentRate":0,"actualRate":0,"rate":391.133611508341},{"sourceKind":"ksg","sourceRow":66,"sourceKey":"auto-01c06dc3","workId":"","name":"Резьбовые соединения технологических трубопроводов","unit":"DI","kq1":"","kq2":"KQ-33-08","stableKey":"auto-823cdba6","plannedQuantity":156,"scheduleQuantity":156,"volumes":[0,0,0,0,0,0,0,0,156,0,0,0],"matchRule":"exact","matchConfidence":1,"contractRate":75.77903863129028,"currentRate":0,"actualRate":0,"rate":75.77903863129028},{"sourceKind":"ksg","sourceRow":69,"sourceKey":"auto-5e9766fd","workId":"","name":"Очистка и промывка технологических трубопроводов","unit":"м","kq1":"","kq2":"KQ-33-01","stableKey":"auto-78256df0","plannedQuantity":32301.39,"scheduleQuantity":21608.629999999997,"volumes":[0,0,0,0,0,0,0,457.94,2855.84,5562.72,6107.69,6624.44],"matchRule":"exact","matchConfidence":0,"contractRate":72.30802245228149,"currentRate":0,"actualRate":0,"rate":72.30802245228149,"originalKq2":"KQ-33-11","rateSource":"KQ KQ-33-01 × 20%"},{"sourceKind":"ksg","sourceRow":70,"sourceKey":"auto-1781b1a2","workId":"","name":"Обратная сборка технологических трубопроводов","unit":"м","kq1":"","kq2":"KQ-33-01","stableKey":"auto-d77d4e3a","plannedQuantity":32306.65,"scheduleQuantity":20539.83,"volumes":[0,0,0,0,0,0,0,179.48,2612.06,5385.11,6053.25,6309.93],"matchRule":"exact","matchConfidence":0,"contractRate":108.46203367842223,"currentRate":0,"actualRate":0,"rate":108.46203367842223,"originalKq2":"KQ-33-12","rateSource":"KQ KQ-33-01 × 30%"},{"sourceKind":"ksg","sourceRow":71,"sourceKey":"auto-70dd76cc","workId":"","name":"Монтаж стальных трубопроводов теплых полов технологических зон","unit":"м","kq1":"","kq2":"KQ-34-03","stableKey":"auto-98d8e61d","plannedQuantity":5159.2,"scheduleQuantity":5041.79,"volumes":[0,0,1758.24,1292.7,672,352.04,0,524.69,432.12,10,0,0],"matchRule":"exact","matchConfidence":1,"contractRate":108.91575037066414,"currentRate":0,"actualRate":0,"rate":108.91575037066414},{"sourceKind":"ksg","sourceRow":72,"sourceKey":"auto-32516916","workId":"","name":"Неразрушающий контроль стыков (РК)","unit":"стык","kq1":"","kq2":"KQ-35-01","stableKey":"auto-cb8b6838","plannedQuantity":55621.7,"scheduleQuantity":43894.11,"volumes":[0,0,0,0,0,4376.99,2461.67,1661.78,6282.16,9413.86,9143.17,10554.48],"matchRule":"exact","matchConfidence":1,"contractRate":93.65661379672338,"currentRate":0,"actualRate":0,"rate":93.65661379672338},{"sourceKind":"ksg","sourceRow":73,"sourceKey":"auto-f126d208","workId":"","name":"Неразрушающий контроль стыков (все виды, кроме РК)","unit":"стык","kq1":"","kq2":"KQ-35-02","stableKey":"auto-38cabb87","plannedQuantity":85,"scheduleQuantity":42,"volumes":[0,0,0,0,0,0,0,0,24,1,12,5],"matchRule":"exact","matchConfidence":1,"contractRate":65.12830389444824,"currentRate":0,"actualRate":0,"rate":65.12830389444824},{"sourceKind":"ksg","sourceRow":75,"sourceKey":"auto-d7fa1903","workId":"","name":"ОГЗ металлоконструкций (окрасочная)","unit":"м2","kq1":"","kq2":"KQ-37-02","stableKey":"auto-c2d1f0b8","plannedQuantity":5189.94,"scheduleQuantity":3008.5924999999997,"volumes":[2300.69,314.16,0,0,0,0,0,131.2475,131.2475,131.2475,0,0],"matchRule":"exact","matchConfidence":1,"contractRate":836.4704645800064,"currentRate":0,"actualRate":0,"rate":836.4704645800064},{"sourceKind":"ksg","sourceRow":76,"sourceKey":"auto-73efc12b","workId":"","name":"АКЗ трубопроводов","unit":"м2","kq1":"","kq2":"KQ-38-02","stableKey":"auto-e963e9db","plannedQuantity":10048.39,"scheduleQuantity":3385.17,"volumes":[0,0,311.68,383.64,158.96,0,0,47.08,251.86,11.52,1395.26,825.17],"matchRule":"exact","matchConfidence":1,"contractRate":102.86106468358507,"currentRate":0,"actualRate":0,"rate":102.86106468358507},{"sourceKind":"ksg","sourceRow":77,"sourceKey":"auto-74a95bf3","workId":"","name":"АКЗ металлоконструкций","unit":"м2","kq1":"","kq2":"KQ-38-03","stableKey":"auto-a93205de","plannedQuantity":7550.27,"scheduleQuantity":3397.0499999999997,"volumes":[0,0,2.9,0,0,531.27,0,724.47,907.8233333333333,469.5333333333333,564.7433333333333,196.31],"matchRule":"exact","matchConfidence":1,"contractRate":215.75414471785402,"currentRate":0,"actualRate":0,"rate":215.75414471785402},{"sourceKind":"ksg","sourceRow":79,"sourceKey":"auto-4c9d2963","workId":"","name":"Опознавательная окраска трубопроводов и оборудования","unit":"м2","kq1":"","kq2":"KQ-38-05","stableKey":"auto-575d30d9","plannedQuantity":124.93,"scheduleQuantity":124.92999999999999,"volumes":[0,0,0,0,0,0,0,0,100.36,22.97,1.6,0],"matchRule":"exact","matchConfidence":1,"contractRate":142.69219952788288,"currentRate":0,"actualRate":0,"rate":142.69219952788288},{"sourceKind":"ksg","sourceRow":81,"sourceKey":"auto-ae5664a4","workId":"","name":"Тепловая изоляция технологических трубопроводов","unit":"м2","kq1":"","kq2":"KQ-40-02","stableKey":"auto-fbf2aa72","plannedQuantity":6444.81,"scheduleQuantity":787.19,"volumes":[0,0,0,0,0,0,0,20.2,337.42,59.66,49.29,320.62],"matchRule":"exact","matchConfidence":1,"contractRate":161.39097971583405,"currentRate":0,"actualRate":0,"rate":161.39097971583405},{"sourceKind":"ksg","sourceRow":84,"sourceKey":"auto-cabf772e","workId":"","name":"Холодоизоляция технологических трубопроводов (пеностеклом)","unit":"м2","kq1":"","kq2":"KQ-41-02","stableKey":"auto-25005522","plannedQuantity":932.69,"scheduleQuantity":7.52,"volumes":[0,0,0,0,0,0,0,0,3.53,3.99,0,0],"matchRule":"exact","matchConfidence":1,"contractRate":246.92625370302767,"currentRate":0,"actualRate":0,"rate":246.92625370302767},{"sourceKind":"ksg","sourceRow":87,"sourceKey":"auto-14b2c6ec","workId":"","name":"Изоляция запорной арматуры термочехлами","unit":"шт.","kq1":"","kq2":"KQ-43-01","stableKey":"auto-433ac785","plannedQuantity":44,"scheduleQuantity":44,"volumes":[0,0,0,0,0,0,0,0,4,13.48,14.52,12],"matchRule":"exact","matchConfidence":1,"contractRate":96.15741454249952,"currentRate":0,"actualRate":0,"rate":96.15741454249952},{"sourceKind":"ksg","sourceRow":88,"sourceKey":"auto-e4c2bb3e","workId":"","name":"Монтаж вспомогательных опорных металлоконструкций для кабеленесущих систем и оборудования ЭОМ и КИПиА","unit":"т","kq1":"","kq2":"KQ-44-01","stableKey":"auto-85d5ff46","plannedQuantity":14.05,"scheduleQuantity":13.86,"volumes":[0,0,0,0,0,0,1.89,5.5,2.2,2.77,1.49,0.01],"matchRule":"exact","matchConfidence":1,"contractRate":9268.199592513756,"currentRate":0,"actualRate":0,"rate":9268.199592513756},{"sourceKind":"ksg","sourceRow":89,"sourceKey":"auto-f7f1366a","workId":"","name":"Монтаж кабельных лотков","unit":"м","kq1":"","kq2":"KQ-45-01","stableKey":"auto-0d268162","plannedQuantity":30023.01,"scheduleQuantity":29726.989999999994,"volumes":[0,0,0,0,1006.02,1558.91,2710.73,4474.41,7926.066666666666,7055.666666666666,4621.596666666666,373.59],"matchRule":"exact","matchConfidence":1,"contractRate":85.15155759429163,"currentRate":0,"actualRate":0,"rate":85.15155759429163},{"sourceKind":"ksg","sourceRow":90,"sourceKey":"auto-f202a3b1","workId":"","name":"Монтаж стальных кабелепроводов","unit":"м","kq1":"","kq2":"KQ-45-02","stableKey":"auto-8b7740a6","plannedQuantity":804.82,"scheduleQuantity":789.81,"volumes":[0,0,0,0,0,0,0,594.64,185.17,0,10,0],"matchRule":"exact","matchConfidence":1,"contractRate":21.351702266069385,"currentRate":0,"actualRate":0,"rate":21.351702266069385},{"sourceKind":"ksg","sourceRow":92,"sourceKey":"auto-94514a01","workId":"","name":"Монтаж пластиковых коробов","unit":"м","kq1":"","kq2":"KQ-46-01","stableKey":"auto-b0e51824","plannedQuantity":1,"scheduleQuantity":1,"volumes":[0,0,0,0,0,0,0,1,0,0,0,0],"matchRule":"exact","matchConfidence":1,"contractRate":92.3940993805626,"currentRate":0,"actualRate":0,"rate":92.3940993805626},{"sourceKind":"ksg","sourceRow":93,"sourceKey":"auto-babc0c7f","workId":"","name":"Монтаж металлорукавов","unit":"м","kq1":"","kq2":"KQ-46-02","stableKey":"auto-17426b35","plannedQuantity":16843.86,"scheduleQuantity":16632.86,"volumes":[0,0,0,0,0,54.04,108.07,6814.47,6065.28,1096,2427,68],"matchRule":"exact","matchConfidence":1,"contractRate":15.330137062089099,"currentRate":0,"actualRate":0,"rate":15.330137062089099},{"sourceKind":"ksg","sourceRow":94,"sourceKey":"auto-5a1a2b80","workId":"","name":"Монтаж полимерных труб и гофр","unit":"м","kq1":"","kq2":"KQ-46-03","stableKey":"auto-73cff391","plannedQuantity":162,"scheduleQuantity":162,"volumes":[0,0,0,0,0,0,0,12,0,150,0,0],"matchRule":"exact","matchConfidence":1,"contractRate":49.10398746769686,"currentRate":0,"actualRate":0,"rate":49.10398746769686},{"sourceKind":"ksg","sourceRow":95,"sourceKey":"auto-66277ec1","workId":"","name":"Монтаж кабеля КИПиА","unit":"м","kq1":"","kq2":"KQ-48-01","stableKey":"auto-4f691479","plannedQuantity":316379,"scheduleQuantity":284446.73000000004,"volumes":[0,0,0,0,0,25,7321.98,34126.52,61275.89,65529.25,61263.89,54904.2],"matchRule":"exact","matchConfidence":1,"contractRate":15.138324995255855,"currentRate":0,"actualRate":0,"rate":15.138324995255855},{"sourceKind":"ksg","sourceRow":96,"sourceKey":"auto-d7812e19","workId":"","name":"Монтаж оптического кабеля","unit":"м","kq1":"","kq2":"KQ-48-02","stableKey":"auto-4ec35368","plannedQuantity":11131,"scheduleQuantity":10364.22,"volumes":[0,0,0,0,0,0,0,2785,3860,808,175,2736.22],"matchRule":"exact","matchConfidence":1,"contractRate":20.413787866340463,"currentRate":0,"actualRate":0,"rate":20.413787866340463},{"sourceKind":"ksg","sourceRow":97,"sourceKey":"auto-37ae3141","workId":"","name":"Монтаж и подключение патч-кордов","unit":"м","kq1":"","kq2":"KQ-48-03","stableKey":"auto-77fa8157","plannedQuantity":318.5,"scheduleQuantity":186,"volumes":[0,0,0,0,0,0,0,1,7,2,24,152],"matchRule":"exact","matchConfidence":1,"contractRate":13.313679612057742,"currentRate":0,"actualRate":0,"rate":13.313679612057742},{"sourceKind":"ksg","sourceRow":98,"sourceKey":"auto-6da2bfb5","workId":"","name":"Расключение кабеля КИПиА","unit":"шт. (конец кабеля)","kq1":"","kq2":"KQ-48-04","stableKey":"auto-1b7e2a92","plannedQuantity":9208,"scheduleQuantity":4615.3099999999995,"volumes":[0,0,0,0,0,10,194.85,10.53,360.33,297.35,1358.01,2384.24],"matchRule":"exact","matchConfidence":1,"contractRate":141.735047833972,"currentRate":0,"actualRate":0,"rate":141.735047833972},{"sourceKind":"ksg","sourceRow":99,"sourceKey":"auto-a54debd2","workId":"","name":"Расключение оптического кабеля","unit":"шт. (конец кабеля)","kq1":"","kq2":"KQ-48-05","stableKey":"auto-eeb14f7d","plannedQuantity":247,"scheduleQuantity":96.52,"volumes":[0,0,0,0,0,0,0,0.33,53.32,10.68,12,20.19],"matchRule":"exact","matchConfidence":1,"contractRate":1278.1427321083181,"currentRate":0,"actualRate":0,"rate":1278.1427321083181},{"sourceKind":"ksg","sourceRow":100,"sourceKey":"auto-51e338b5","workId":"","name":"Монтаж силового кабеля до 1 кВ","unit":"м","kq1":"","kq2":"KQ-49-01","stableKey":"auto-f9b1607d","plannedQuantity":97842.3,"scheduleQuantity":74940.63,"volumes":[0,0,0,0,29.01,6977.11,6330.98,6044.265,8266,15683.27,15421.33,16188.665],"matchRule":"exact","matchConfidence":1,"contractRate":13.883685550361719,"currentRate":0,"actualRate":0,"rate":13.883685550361719},{"sourceKind":"ksg","sourceRow":101,"sourceKey":"auto-beae802d","workId":"","name":"Монтаж силового кабеля от 1 до 35 кВ","unit":"м","kq1":"","kq2":"KQ-49-02","stableKey":"auto-17c64986","plannedQuantity":1543.68,"scheduleQuantity":1543.6799999999998,"volumes":[0,0,0,0,0,0,0,229.38,1314.3,0,0,0],"matchRule":"exact","matchConfidence":1,"contractRate":24.682871709083038,"currentRate":0,"actualRate":0,"rate":24.682871709083038},{"sourceKind":"ksg","sourceRow":102,"sourceKey":"auto-530eea20","workId":"","name":"Расключение силового кабеля до 1 кВ","unit":"шт. (конец кабеля)","kq1":"","kq2":"KQ-49-04","stableKey":"auto-01e1e89c","plannedQuantity":9090,"scheduleQuantity":8966,"volumes":[0,0,0,0,0,0,3.06,1475.7,3862.84,1147.4,412.59,2064.41],"matchRule":"exact","matchConfidence":1,"contractRate":61.718753384787625,"currentRate":0,"actualRate":0,"rate":61.718753384787625},{"sourceKind":"ksg","sourceRow":103,"sourceKey":"auto-e30c3b82","workId":"","name":"Расключение силового кабеля от 1 до 35 кВ","unit":"шт. (конец кабеля)","kq1":"","kq2":"KQ-49-05","stableKey":"auto-963374e1","plannedQuantity":16,"scheduleQuantity":16,"volumes":[0,0,0,0,0,0,0,4,12,0,0,0],"matchRule":"exact","matchConfidence":1,"contractRate":332.23953201185446,"currentRate":0,"actualRate":0,"rate":332.23953201185446},{"sourceKind":"ksg","sourceRow":104,"sourceKey":"auto-c0925a88","workId":"","name":"Монтаж греющего кабеля","unit":"м","kq1":"","kq2":"KQ-50-01","stableKey":"auto-9b4803a6","plannedQuantity":17842,"scheduleQuantity":1113,"volumes":[0,0,0,0,0,0,0,0,0,0,0,1113],"matchRule":"exact","matchConfidence":1,"contractRate":10.551746007955652,"currentRate":0,"actualRate":0,"rate":10.551746007955652},{"sourceKind":"ksg","sourceRow":105,"sourceKey":"auto-0afa111a","workId":"","name":"Расключение греющего кабеля","unit":"шт. (конец кабеля)","kq1":"","kq2":"KQ-50-02","stableKey":"auto-8eb44d5f","plannedQuantity":1526,"scheduleQuantity":146,"volumes":[0,0,0,0,0,0,0,0,0,0,0,146],"matchRule":"exact","matchConfidence":1,"contractRate":42.565761483971635,"currentRate":0,"actualRate":0,"rate":42.565761483971635},{"sourceKind":"ksg","sourceRow":106,"sourceKey":"auto-2e13bc8d","workId":"","name":"Монтаж проводника заземления (провод)","unit":"м","kq1":"","kq2":"KQ-51-01","stableKey":"auto-7b0989df","plannedQuantity":7417.85,"scheduleQuantity":6927.85,"volumes":[0,0,0,0,0,44.97,57.03,1817.02,2780.81,1228.02,689,311],"matchRule":"exact","matchConfidence":1,"contractRate":33.897024393933506,"currentRate":0,"actualRate":0,"rate":33.897024393933506},{"sourceKind":"ksg","sourceRow":107,"sourceKey":"auto-a7dbcac3","workId":"","name":"Монтаж проводника заземления (полоса)","unit":"м","kq1":"","kq2":"KQ-51-02","stableKey":"auto-40ad0cba","plannedQuantity":3476.68,"scheduleQuantity":3357.6,"volumes":[0,212.01,772.64,245.92,79,174.35,103.55,437.57,239.98,437.57,437.57,217.44],"matchRule":"exact","matchConfidence":1,"contractRate":12.116605865375828,"currentRate":0,"actualRate":0,"rate":12.116605865375828},{"sourceKind":"ksg","sourceRow":109,"sourceKey":"auto-3821d741","workId":"","name":"Монтаж ИБП","unit":"шт.","kq1":"","kq2":"KQ-55-01","stableKey":"auto-7b7fd9f2","plannedQuantity":9,"scheduleQuantity":6,"volumes":[0,0,0,0,0,0,0,1,4,0,0,1],"matchRule":"exact","matchConfidence":1,"contractRate":4342.707726361559,"currentRate":0,"actualRate":0,"rate":4342.707726361559},{"sourceKind":"ksg","sourceRow":111,"sourceKey":"auto-1f77a7b8","workId":"","name":"Монтаж осветительных приборов внутреннего исполнения (штучные)","unit":"шт.","kq1":"","kq2":"KQ-56-02","stableKey":"auto-55d0207d","plannedQuantity":24</t>
        </is>
      </c>
    </row>
    <row r="9">
      <c r="A9" t="inlineStr">
        <is>
          <t>8,"scheduleQuantity":238,"volumes":[0,0,0,0,0,0,0,51,129,0,0,58],"matchRule":"exact","matchConfidence":1,"contractRate":18.803837820768617,"currentRate":0,"actualRate":0,"rate":18.803837820768617},{"sourceKind":"ksg","sourceRow":112,"sourceKey":"auto-5527280d","workId":"","name":"Монтаж малых силовых шкафов","unit":"шт.","kq1":"","kq2":"KQ-57-01","stableKey":"auto-0b81602b","plannedQuantity":87,"scheduleQuantity":83,"volumes":[0,0,0,0,1,0,0,38,8,0,0,36],"matchRule":"exact","matchConfidence":1,"contractRate":169.15606209984324,"currentRate":0,"actualRate":0,"rate":169.15606209984324},{"sourceKind":"ksg","sourceRow":113,"sourceKey":"auto-13f07d20","workId":"","name":"Монтаж силовых шкафов электрообогрева","unit":"шт.","kq1":"","kq2":"KQ-57-02","stableKey":"auto-a954b4e3","plannedQuantity":6,"scheduleQuantity":5.83,"volumes":[0,0,0,0,0,0,0,0,0,0,0,5.83],"matchRule":"exact","matchConfidence":1,"contractRate":2129.915730952095,"currentRate":0,"actualRate":0,"rate":2129.915730952095},{"sourceKind":"ksg","sourceRow":114,"sourceKey":"auto-9b02d59c","workId":"","name":"Монтаж щитового оборудования РУ, ВРУ","unit":"шт.","kq1":"","kq2":"KQ-57-03","stableKey":"auto-3260498c","plannedQuantity":60,"scheduleQuantity":60.01,"volumes":[0,0,0,0,0,0,6.67,17.72,33.62,0,0,2],"matchRule":"exact","matchConfidence":1,"contractRate":1805.3442281680416,"currentRate":0,"actualRate":0,"rate":1805.3442281680416},{"sourceKind":"ksg","sourceRow":115,"sourceKey":"auto-53a059d5","workId":"","name":"Монтаж щитового оборудования КИПиА","unit":"шт.","kq1":"","kq2":"KQ-58-01","stableKey":"auto-277dc6cc","plannedQuantity":116,"scheduleQuantity":114.99000000000001,"volumes":[0,0,0,0,0,0,11,0,13,0,37.4,53.59],"matchRule":"exact","matchConfidence":1,"contractRate":1599.3600915111508,"currentRate":0,"actualRate":0,"rate":1599.3600915111508},{"sourceKind":"ksg","sourceRow":117,"sourceKey":"auto-732d3692","workId":"","name":"Монтаж оконечных и распределительных устройств силовых сетей","unit":"шт.","kq1":"","kq2":"KQ-59-01","stableKey":"auto-3e3016bc","plannedQuantity":3185,"scheduleQuantity":1502.25,"volumes":[0,0,0,0,0,0,0,297.62,559.38,500,2,143.25],"matchRule":"exact","matchConfidence":1,"contractRate":91.42906469212689,"currentRate":0,"actualRate":0,"rate":91.42906469212689},{"sourceKind":"ksg","sourceRow":118,"sourceKey":"auto-1964f89d","workId":"","name":"Монтаж оконечных и распределительных устройств слаботочных сетей","unit":"шт.","kq1":"","kq2":"KQ-59-02","stableKey":"auto-59e7d61e","plannedQuantity":601,"scheduleQuantity":268,"volumes":[0,0,0,0,0,0,0.97,6.58,29.42,38,153,40.03],"matchRule":"exact","matchConfidence":1,"contractRate":63.49215477871519,"currentRate":0,"actualRate":0,"rate":63.49215477871519},{"sourceKind":"ksg","sourceRow":119,"sourceKey":"auto-52f35e97","workId":"","name":"Монтаж приборов КИПиА","unit":"шт.","kq1":"","kq2":"KQ-60-01","stableKey":"auto-1a3aa973","plannedQuantity":1120,"scheduleQuantity":260,"volumes":[0,0,0,0,0,2,4,2,0,19,102.79,130.21],"matchRule":"exact","matchConfidence":1,"contractRate":339.40089810142786,"currentRate":0,"actualRate":0,"rate":339.40089810142786},{"sourceKind":"ksg","sourceRow":120,"sourceKey":"auto-dc503240","workId":"","name":"Монтаж импульсных трубок","unit":"м","kq1":"","kq2":"KQ-60-02","stableKey":"auto-35e6164a","plannedQuantity":6083,"scheduleQuantity":1697,"volumes":[0,0,0,0,0,0,0,0,6,51,130,1510],"matchRule":"exact","matchConfidence":1,"contractRate":16.07556380894246,"currentRate":0,"actualRate":0,"rate":16.07556380894246},{"sourceKind":"ksg","sourceRow":121,"sourceKey":"auto-68416924","workId":"","name":"Монтаж приборов охранно-пожарной сигнализации, оповещения и связи","unit":"шт.","kq1":"","kq2":"KQ-60-03","stableKey":"auto-b115169d","plannedQuantity":793,"scheduleQuantity":476,"volumes":[0,0,0,0,0,0,0,0,0,380,96,0],"matchRule":"exact","matchConfidence":1,"contractRate":105.82347256683774,"currentRate":0,"actualRate":0,"rate":105.82347256683774},{"sourceKind":"ksg","sourceRow":122,"sourceKey":"auto-8d0a9988","workId":"","name":"Монтаж оборудования оповещения и связи","unit":"шт.","kq1":"","kq2":"KQ-60-04","stableKey":"auto-79f94e98","plannedQuantity":60,"scheduleQuantity":35,"volumes":[0,0,0,0,0,0,0,4,0,14,9,8],"matchRule":"exact","matchConfidence":1,"contractRate":204.04558245797935,"currentRate":0,"actualRate":0,"rate":204.04558245797935},{"sourceKind":"ksg","sourceRow":123,"sourceKey":"auto-7eaba52a","workId":"","name":"Монтаж оборудования видеонаблюдения","unit":"шт.","kq1":"","kq2":"KQ-60-05","stableKey":"auto-79a9724d","plannedQuantity":24,"scheduleQuantity":24,"volumes":[0,0,0,0,0,0,0,2,14,0,4,4],"matchRule":"exact","matchConfidence":1,"contractRate":135.50946974107168,"currentRate":0,"actualRate":0,"rate":135.50946974107168},{"sourceKind":"ksg","sourceRow":124,"sourceKey":"auto-f76ee086","workId":"","name":"Монтаж мультимедийного оборудования и оргтехники","unit":"шт.","kq1":"","kq2":"KQ-60-07","stableKey":"auto-a2d83474","plannedQuantity":40,"scheduleQuantity":13,"volumes":[0,0,0,0,0,0,0,0,0,1,3,9],"matchRule":"exact","matchConfidence":1,"contractRate":975.6389677708105,"currentRate":0,"actualRate":0,"rate":975.6389677708105},{"sourceKind":"ksg","sourceRow":125,"sourceKey":"auto-8f2142cd","workId":"","name":"Монтаж основного вентиляционного оборудования","unit":"шт.","kq1":"","kq2":"KQ-61-01","stableKey":"auto-cd598dc8","plannedQuantity":43,"scheduleQuantity":11,"volumes":[0,0,0,0,0,0,0,0,0,1,10,0],"matchRule":"exact","matchConfidence":1,"contractRate":1541.4807402512588,"currentRate":0,"actualRate":0,"rate":1541.4807402512588},{"sourceKind":"ksg","sourceRow":126,"sourceKey":"auto-dbef6264","workId":"","name":"Монтаж основного оборудования кондиционирования","unit":"шт.","kq1":"","kq2":"KQ-61-02","stableKey":"auto-61797ef8","plannedQuantity":7,"scheduleQuantity":7,"volumes":[0,0,0,0,0,0,0,0,0,5.98,1.02,0],"matchRule":"exact","matchConfidence":1,"contractRate":5202.81570173899,"currentRate":0,"actualRate":0,"rate":5202.81570173899},{"sourceKind":"ksg","sourceRow":127,"sourceKey":"auto-1d311732","workId":"","name":"Монтаж воздуховодов","unit":"м2","kq1":"","kq2":"KQ-62-01","stableKey":"auto-fd0fd071","plannedQuantity":3193.32,"scheduleQuantity":761.36,"volumes":[0,0,0,0,0,0,34.04,156.5,254.27,93.59,222.96,0],"matchRule":"exact","matchConfidence":1,"contractRate":125.42613466501194,"currentRate":0,"actualRate":0,"rate":125.42613466501194},{"sourceKind":"ksg","sourceRow":128,"sourceKey":"auto-9da55494","workId":"","name":"Монтаж вентиляционных клапанов и заслонок","unit":"шт.","kq1":"","kq2":"KQ-62-02","stableKey":"auto-f7115d1e","plannedQuantity":195,"scheduleQuantity":90,"volumes":[0,0,0,0,0,0,1,0,4,0,85,0],"matchRule":"exact","matchConfidence":1,"contractRate":112.14561637921601,"currentRate":0,"actualRate":0,"rate":112.14561637921601},{"sourceKind":"ksg","sourceRow":129,"sourceKey":"auto-08b372ea","workId":"","name":"Монтаж оконечных устройств воздухораспределения","unit":"шт.","kq1":"","kq2":"KQ-62-03","stableKey":"auto-cf90aaf3","plannedQuantity":232,"scheduleQuantity":73,"volumes":[0,0,0,0,0,0,0,0,19,0,7,47],"matchRule":"exact","matchConfidence":1,"contractRate":136.47985418260646,"currentRate":0,"actualRate":0,"rate":136.47985418260646},{"sourceKind":"ksg","sourceRow":130,"sourceKey":"auto-3a1fd4f1","workId":"","name":"Тепловая изоляция воздуховодов","unit":"м2","kq1":"","kq2":"KQ-62-05","stableKey":"auto-b611a2bc","plannedQuantity":429.19,"scheduleQuantity":339.19,"volumes":[0,0,0,0,0,0,0,0,150,0,189.19,0],"matchRule":"exact","matchConfidence":1,"contractRate":102.62774024703354,"currentRate":0,"actualRate":0,"rate":102.62774024703354},{"sourceKind":"ksg","sourceRow":131,"sourceKey":"auto-bb8b8841","workId":"","name":"Монтаж блочных тепловых пунктов","unit":"компл.","kq1":"","kq2":"KQ-63-01","stableKey":"auto-6fbcbab3","plannedQuantity":1,"scheduleQuantity":1,"volumes":[0,0,0,0,0,0,0,1,0,0,0,0],"matchRule":"exact","matchConfidence":1,"contractRate":2307.515191254119,"currentRate":0,"actualRate":0,"rate":2307.515191254119},{"sourceKind":"ksg","sourceRow":132,"sourceKey":"auto-7fd07dd1","workId":"","name":"Монтаж противопожарного оборудования","unit":"шт.","kq1":"","kq2":"KQ-63-06","stableKey":"auto-418f514a","plannedQuantity":25.4,"scheduleQuantity":3,"volumes":[0,0,0,0,0,0,0,2,1,0,0,0],"matchRule":"exact","matchConfidence":1,"contractRate":0,"currentRate":0,"actualRate":0,"rate":0},{"sourceKind":"ksg","sourceRow":133,"sourceKey":"auto-842124b6","workId":"","name":"Монтаж устройств пожаротушения","unit":"шт.","kq1":"","kq2":"KQ-63-07","stableKey":"auto-e0ff0a32","plannedQuantity":444,"scheduleQuantity":104,"volumes":[0,0,0,0,0,0,0,1,70,33,0,0],"matchRule":"exact","matchConfidence":1,"contractRate":112.40982466300838,"currentRate":0,"actualRate":0,"rate":112.40982466300838},{"sourceKind":"ksg","sourceRow":134,"sourceKey":"auto-a6a733aa","workId":"","name":"Монтаж пластиковых трубопроводов внутренних инженерных сетей","unit":"м","kq1":"","kq2":"KQ-64-01","stableKey":"auto-1ebc70e3","plannedQuantity":121.09,"scheduleQuantity":121.09,"volumes":[0,0,0,0,42,0,0,0,0,39.22,16.87,23],"matchRule":"exact","matchConfidence":1,"contractRate":120.93260538414012,"currentRate":0,"actualRate":0,"rate":120.93260538414012},{"sourceKind":"ksg","sourceRow":135,"sourceKey":"auto-afb1d7c6","workId":"","name":"Монтаж стальных трубопроводов внутренних инженерных сетей","unit":"м","kq1":"","kq2":"KQ-64-02","stableKey":"auto-1dac18e8","plannedQuantity":1523.48,"scheduleQuantity":183.48000000000002,"volumes":[0,0,0,0,0,0,0,0,0,9.4,42.53,131.55],"matchRule":"exact","matchConfidence":1,"contractRate":188.49383664771455,"currentRate":0,"actualRate":0,"rate":188.49383664771455},{"sourceKind":"ksg","sourceRow":136,"sourceKey":"auto-25e53593","workId":"","name":"Монтаж запорно-регулирующей и распределительной арматуры внутр. инженерных сетей","unit":"шт.","kq1":"","kq2":"KQ-64-05","stableKey":"auto-1fbc5228","plannedQuantity":429,"scheduleQuantity":124,"volumes":[0,0,0,0,0,0,0,15,15,18,4,72],"matchRule":"exact","matchConfidence":1,"contractRate":408.21731600457287,"currentRate":0,"actualRate":0,"rate":408.21731600457287},{"sourceKind":"ksg","sourceRow":138,"sourceKey":"auto-484c1696","workId":"","name":"Монтаж радиаторов, конвекторов и регистров","unit":"шт.","kq1":"","kq2":"KQ-65-02","stableKey":"auto-b1113303","plannedQuantity":22,"scheduleQuantity":9,"volumes":[0,0,0,0,0,0,0,0,0,0,9,0],"matchRule":"exact","matchConfidence":1,"contractRate":142.9249787306926,"currentRate":0,"actualRate":0,"rate":142.9249787306926},{"sourceKind":"ksg","sourceRow":139,"sourceKey":"auto-8b07dee1","workId":"","name":"Монтаж дверей, люков и решеток","unit":"м2","kq1":"","kq2":"KQ-66-02","stableKey":"auto-342e906b","plannedQuantity":104.62,"scheduleQuantity":104.62,"volumes":[0,0,0,0,0,0,0,30.063333333333333,14.43,30.063333333333333,30.063333333333333,0],"matchRule":"exact","matchConfidence":1,"contractRate":579.1967443246075,"currentRate":0,"actualRate":0,"rate":579.1967443246075},{"sourceKind":"ksg","sourceRow":140,"sourceKey":"auto-363d9077","workId":"","name":"Монтаж ворот на зданиях","unit":"м2","kq1":"","kq2":"KQ-66-03","stableKey":"auto-ce4a5583","plannedQuantity":130.27,"scheduleQuantity":130.27,"volumes":[0,0,0,0,0,0,0,0,130.27,0,0,0],"matchRule":"exact","matchConfidence":1,"contractRate":668.4550169417147,"currentRate":0,"actualRate":0,"rate":668.4550169417147},{"sourceKind":"ksg","sourceRow":141,"sourceKey":"auto-957dc9cf","workId":"","name":"Монтаж кровли из профлиста","unit":"м2","kq1":"","kq2":"KQ-67-01","stableKey":"auto-5d20d828","plannedQuantity":761.56,"scheduleQuantity":761.56,"volumes":[0,0,0,0,0,0,0,253.85333333333332,253.85333333333332,253.85333333333332,0,0],"matchRule":"exact","matchConfidence":1,"contractRate":190.2984046046062,"currentRate":0,"actualRate":0,"rate":190.2984046046062},{"sourceKind":"ksg","sourceRow":142,"sourceKey":"auto-b2acc7ea","workId":"","name":"Утепление кровли","unit":"м3","kq1":"","kq2":"KQ-67-02","stableKey":"auto-57e5e800","plannedQuantity":908.22,"scheduleQuantity":908.21,"volumes":[0,0,0,0,0,0,0,175.51,631.49,101.21,0,0],"matchRule":"exact","matchConfidence":1,"contractRate":289.11009004989,"currentRate":0,"actualRate":0,"rate":289.11009004989},{"sourceKind":"ksg","sourceRow":143,"sourceKey":"auto-e28a1003","workId":"","name":"Устройство стяжки или цементно-стружечных плит на кровле","unit":"м2","kq1":"","kq2":"KQ-67-03","stableKey":"auto-83deccc6","plannedQuantity":2619.1,"scheduleQuantity":2619.09,"volumes":[0,0,0,0,0,0,0,5.26,743.12,1751.71,0,119],"matchRule":"exact","matchConfidence":1,"contractRate":98.7927908106425,"currentRate":0,"actualRate":0,"rate":98.7927908106425},{"sourceKind":"ksg","sourceRow":144,"sourceKey":"auto-11093679","workId":"","name":"Устройство покрытий кровли из ПВХ мембраны или наплавляемых материалов","unit":"м2","kq1":"","kq2":"KQ-67-04","stableKey":"auto-41b795bd","plannedQuantity":6098.22,"scheduleQuantity":6098.22,"volumes":[0,0,0,0,0,0,0,350.61,1436.9025,1436.9025,1436.9025,1436.9025],"matchRule":"exact","matchConfidence":1,"contractRate":41.96132846302087,"currentRate":0,"actualRate":0,"rate":41.96132846302087},{"sourceKind":"ksg","sourceRow":147,"sourceKey":"auto-f73bd5af","workId":"","name":"Устройство кровельной водосточной системы","unit":"м","kq1":"","kq2":"KQ-67-07","stableKey":"auto-f1e05c46","plannedQuantity":424,"scheduleQuantity":424,"volumes":[0,0,0,0,0,0,0,5.34,118,300.66,0,0],"matchRule":"exact","matchConfidence":1,"contractRate":57.12715970823146,"currentRate":0,"actualRate":0,"rate":57.12715970823146},{"sourceKind":"ksg","sourceRow":148,"sourceKey":"auto-f912bc7d","workId":"","name":"Устройство перильного ограждения кровли","unit":"м","kq1":"","kq2":"KQ-67-08","stableKey":"auto-6d6ef63d","plannedQuantity":49.02,"scheduleQuantity":49.02,"volumes":[0,0,0,0,0,0,0,0,49.02,0,0,0],"matchRule":"exact","matchConfidence":1,"contractRate":57.42203420039396,"currentRate":0,"actualRate":0,"rate":57.42203420039396},{"sourceKind":"ksg","sourceRow":149,"sourceKey":"auto-b5317ada","workId":"","name":"Облицовка стен профлистом","unit":"м2","kq1":"","kq2":"KQ-68-05","stableKey":"auto-4fc27f3d","plannedQuantity":42.84,"scheduleQuantity":42.84,"volumes":[0,0,0,0,0,0,0,42.84,0,0,0,0],"matchRule":"exact","matchConfidence":1,"contractRate":242.55959663016986,"currentRate":0,"actualRate":0,"rate":242.55959663016986},{"sourceKind":"ksg","sourceRow":150,"sourceKey":"auto-c99823c8","workId":"","name":"Утепление фасадов","unit":"м3","kq1":"","kq2":"KQ-68-02","stableKey":"auto-d5fa45c3","plannedQuantity":1.8,"scheduleQuantity":1.8,"volumes":[0,0,0,0,0,0,0,0.3,0,1.5,0,0],"matchRule":"exact","matchConfidence":1,"contractRate":504.07733735568615,"currentRate":0,"actualRate":0,"rate":504.07733735568615},{"sourceKind":"ksg","sourceRow":151,"sourceKey":"auto-407f9b5d","workId":"","name":"Устройство вентилируемых фасадов с облицовкой","unit":"м2","kq1":"","kq2":"KQ-68-03","stableKey":"auto-4c96423d","plannedQuantity":1891,"scheduleQuantity":1891,"volumes":[0,0,0,0,0,0,0,332.9,781.56,776.54,0,0],"matchRule":"exact","matchConfidence":1,"contractRate":150.19983822095634,"currentRate":0,"actualRate":0,"rate":150.19983822095634},{"sourceKind":"ksg","sourceRow":154,"sourceKey":"auto-57ba2ecc","workId":"","name":"Устройство декоративных фасадных конструкций","unit":"м2","kq1":"","kq2":"KQ-68-07","stableKey":"auto-8c7b024b","plannedQuantity":4,"scheduleQuantity":4,"volumes":[0,0,0,0,0,0,0,0,0,4,0,0],"matchRule":"exact","matchConfidence":1,"contractRate":215.82820104989435,"currentRate":0,"actualRate":0,"rate":215.82820104989435},{"sourceKind":"ksg","sourceRow":155,"sourceKey":"auto-b428012d","workId":"","name":"Кладка стен и перегородок","unit":"м3","kq1":"","kq2":"KQ-69-01","stableKey":"auto-929bba11","plannedQuantity":225.54,"scheduleQuantity":216.54,"volumes":[12.99,48.01,56.66,87.42,3.66,1.77,6.03,0,0,0,0,0],"matchRule":"exact","matchConfidence":1,"contractRate":593.9344302929561,"currentRate":0,"actualRate":0,"rate":593.9344302929561},{"sourceKind":"ksg","sourceRow":156,"sourceKey":"auto-73608f7d","workId":"","name":"Отделка стен","unit":"м2","kq1":"","kq2":"KQ-69-02","stableKey":"auto-d42fdda0","plannedQuantity":1826.5,"scheduleQuantity":1826.5,"volumes":[0,0,0,0,0,0,166.99,313.0366666666667,313.0366666666667,313.0366666666667,0,720.4],"matchRule":"exact","matchConfidence":1,"contractRate":138.05006799882244,"currentRate":0,"actualRate":0,"rate":138.05006799882244},{"sourceKind":"ksg","sourceRow":157,"sourceKey":"auto-de73275e","workId":"","name":"Устройство полов","unit":"м2","kq1":"","kq2":"KQ-69-03","stableKey":"auto-1880c90c","plannedQuantity":2606.97,"scheduleQuantity":2597.95,"volumes":[0,0,0,100.21,926.48,528.73,267.53,331.15,89.45,53.38,124.77,176.25],"matchRule":"exact","matchConfidence":1,"contractRate":913.231291851345,"currentRate":0,"actualRate":0,"rate":913.231291851345},{"sourceKind":"ksg","sourceRow":158,"sourceKey":"auto-3acc33da","workId":"","name":"Устройство потолков","unit":"м2","kq1":"","kq2":"KQ-69-04","stableKey":"auto-aace5045","plannedQuantity":979.44,"scheduleQuantity":979.44,"volumes":[0,0,0,0,0,0,0,141.17,279.42333333333335,279.42333333333335,279.42333333333335,0],"matchRule":"exact","matchConfidence":1,"contractRate":0,"currentRate":0,"actualRate":0,"rate":0},{"sourceKind":"ksg","sourceRow":160,"sourceKey":"auto-67adf04e","workId":"","name":"Устройство фальшпола","unit":"м2","kq1":"","kq2":"KQ-69-06","stableKey":"auto-8bece68c","plannedQuantity":301.6,"scheduleQuantity":301.59999999999997,"volumes":[0,0,0,0,0,0,0,64.8,74.13333333333334,74.13333333333334,74.13333333333334,14.4],"matchRule":"exact","matchConfidence":1,"contractRate":218.12757294753376,"currentRate":0,"actualRate":0,"rate":218.12757294753376},{"sourceKind":"ksg","sourceRow":162,"sourceKey":"auto-2825904b","workId":"","name":"Укладка геоматериалов","unit":"м2","kq1":"","kq2":"KQ-71-01","stableKey":"auto-42cb0c23","plannedQuantity":5561.1,"scheduleQuantity":5498.860000000001,"volumes":[0,0,0,0,1292.05,4206.81,0,0,0,0,0,0],"matchRule":"exact","matchConfidence":1,"contractRate":9.654216311079875,"currentRate":0,"actualRate":0,"rate":9.654216311079875},{"sourceKind":"ksg","sourceRow":163,"sourceKey":"auto-1a368d92","workId":"","name":"Устройство щебеночных оснований и покрытий","unit":"м3","kq1":"","kq2":"KQ-71-02","stableKey":"auto-2af92db9","plannedQuantity":1174.96,"scheduleQuantity":1174.96,"volumes":[0,0,0.18,0,273.43,889.72,0,0,0,0,0,11.63],"matchRule":"exact","matchConfidence":1,"contractRate":83.38711268042097,"currentRate":0,"actualRate":0,"rate":83.38711268042097},{"sourceKind":"ksg","sourceRow":164,"sourceKey":"auto-de0df9c3","workId":"","name":"Устройство бетонных покрытий","unit":"м3","kq1":"","kq2":"KQ-71-03","stableKey":"auto-3d9d5109","plannedQuantity":1064.9,"scheduleQuantity":1041.06,"volumes":[0,0,0,0,104.86,569.31,222.35,87.48,0,0,0,57.06],"matchRule":"exact","matchConfidence":1,"contractRate":1354.6688965095243,"currentRate":0,"actualRate":0,"rate":1354.6688965095243},{"sourceKind":"ksg","sourceRow":166,"sourceKey":"auto-51ad9fa2","workId":"","name":"Устройство элементов обеспечения БДД","unit":"шт.","kq1":"","kq2":"KQ-71-10","stableKey":"auto-b2e363f6","plannedQuantity":6,"scheduleQuantity":3,"volumes":[0,0,0,0,0,0,0,3,0,0,0,0],"matchRule":"exact","matchConfidence":1,"contractRate":133.063594445712,"currentRate":0,"actualRate":0,"rate":133.063594445712}],"revenueBasis":"ksg","actualThroughMonth":8,"primaryIdentityConfirmed":true,"workSourceMeta":{"boqFile":"data/sources/boq.xlsx","ksgFile":"data/sources/ksg.xlsx","paymentFile":"data/sources/payments.xlsx","paymentRows":6,"bankRows":6,"factoringRows":25,"receiptSource":"Платежи H (без НДС) + Факторинг R (без НДС), Авансы H, зачёты Первичка AD","paymentIdentityEvidence":"Контрагент 316668, ERP 120001358474, назначение платежа содержит 4700134128, валюта USD","primaryFile":"data/sources/primary_documents.xlsx","primaryRows":28,"primarySourceContract":"НКНХ.10321","bankSourceContract":"120001358474","primaryPaymentMatches":3,"primaryIdentityEvidence":"Первичка: НКНХ.10321, Подрядчик-1--2, ПЭ, USD; 7 документных сумм совпали с платежами ERP 120001358474, назначение которых содержит 4700134128","primaryCacheDifferences":[8,9,10,11,12],"resourceCacheDifferences":[8,9,10,11,12],"resourceSource":"Исходная модель, Детальная модель (кэшированных значений 2026 года)","resourceForecastPolicy":"Август–декабрь: прогнозные значения исходной модели, подтверждено пользователем; не считать фактом","currency":"USD","boqRows":888,"kq2Rows":146,"ksgRows":129,"matchedRows":129,"unmatchedRows":0,"ignoredRows":32,"boqCost":67698174.96757229,"scheduledCost":54001845.864776365,"contractQuantity":672181.8692630008,"scheduledQuantity":697305.5724999998,"sourceContractNumber":"4700134128","loadedAt":"2026-09-25T09:52:37.846Z","warnings":["Договорный номер первички НКНХ.10321 связан с 4700134128 через платёжный ERP 120001358474; отбор факта ограничен этим номером договора","Кэш исходной книги по первичке расходится с документами в месяцах 8, 9, 10, 11, 12","Ресурсные файлы расходятся с прогнозом исходной модели в месяцах 8, 9, 10, 11, 12"],"blockers":["План поступлений после даты банковского реестра отсутствует; августовский кэш Excel не совпадает с предоставленным реестром факторинга","Закрытый расход по статьям затрат не подтверждён первичными документами"],"loading":false,"error":null,"sourcePaths":{"boq":"data/sources/boq.xlsx","ksg":"data/sources/ksg.xlsx","personnel":"data/sources/personnel.xlsx","equipment":"data/sources/equipment.xlsx","primary_documents":"data/sources/primary_documents.xlsx","payments":"data/sources/payments.xlsx","factoring":"data/sources/factoring.xlsx"},"resourceSources":{"personnel":{"path":"data/sources/personnel.xlsx","sheet":"Персонал","through":7,"complete":[true,true,true,true,true,true,true,false,false,false,false,false]},"equipment":{"path":"data/sources/equipment.xlsx","sheet":"Техника","through":7,"complete":[true,true,true,true,true,true,true,false,false,false,false,false]}}},"personnelCategories":{"direct":[{"sourceRow":25,"rate":1875,"currency":"USD","insurance":0.8999999999999999,"months":[53.391947111391644,73.55175077239957,80.45523404538055,84.38352214212152,89.09843526793128,94.87054582904221,109.97634630078734,179.13424866788884,276.7604300017202,291.24294979844865,252.4494722742328,252.0404802338531]},{"sourceRow":26,"rate":2000,"currency":"USD","insurance":30.9,"months":[0.19557489784392545,0.26942033249963215,0.294707817016046,0.30909715070374183,0.32636789475432704,0.34751115688293854,0.40284375934354344,0.6561694090398859,1.01377446887077,1.0668239919357094,0.9247233416638564,0.9232252023218062]},{"sourceRow":27,"rate":1875,"currency":"USD","insurance":30.9,"months":[24.446862230490684,33.677541562454024,36.83847712700575,38.637143837967734,40.79598684429089,43.43889461036732,50.35546991794293,82.02117612998575,126.72180860884626,133.3529989919637,115.59041770798206,115.40315029022578]},{"sourceRow":28,"rate":1875,"currency":"USD","insurance":30.9,"months":[111.86884156672535,154.1084301897896,168.5728713331783,176.80357020254033,186.6824357994751,198.77638173704085,230.42663034450683,375.32890197081474,579.8789961940804,610.2233233872258,528.9417514317258,528.0848157280732]},{"sourceRow":29,"rate":375,"currency":"USD","insurance":30.9,"months":[71.70391705069122,24.554147465437836,13.972043010752657,16.76989247311826,20.53010752688175,53.72795698924733,245.97920585514856,347.23451309578843,51.51108689605621,0,0,0]}],"indirect":[{"sourceRow":31,"rate":2718.75,"currency":"USD","insurance":0.8999999999999999,"months":[14.35898719691009,17.31762749445676,16.195479579429225,14.638433111603842,15.249195336528144,16.289874353288987,16.647593162148627,21.881957920031383,27.844670264896315,28.5732082794207,26.67023669856434,26.64863254461922]},{"sourceRow":32,"rate":1631.25,"currency":"USD","insurance":30.9,"months":[15.238108862027035,18.377890402280645,17.187039553679995,15.534663710273465,16.182819540805376,17.28721359940872,17.666833559831197,23.221669629421058,29.54944599540017,30.32258837816074,28.30310833317032,28.280181475922436]},{"sourceRow":33,"rate":2718.75,"currency":"USD","insurance":30.9,"months":[21.098919962806665,25.4463097877732,23.797439382018453,21.509534368070952,22.406980902653597,23.936141906873615,24.46176954438166,32.153081025352236,40.91461753209254,41.98512236976103,39.188919230543526,39.15717435127722]},{"sourceRow":34,"rate":1631.25,"currency":"USD","insurance":30.9,"months":[22.857163293040553,27.56683560342097,25.780559330519992,23.301995565410195,24.274229311208067,25.93082039911308,26.5002503397468,34.83250444413159,44.32416899310026,45.48388256724112,42.454662499755486,42.420272213883656]},{"sourceRow":35,"rate":1631.25,"currency":"USD","insurance":30.9,"months":[58.608111007796296,70.68419385492557,66.1039982833846,59.748706577974865,62.241613618482226,66.48928307464894,67.94935984550462,89.31411395931177,113.65171536692374,116.62533991600287,108.85810897373202,108.76992875354784]}]},"costSourceBasis":{"scaffoldPeople":true,"livingPeople":true,"projectMaterialsForecast":true,"materialMarkupPercent":10,"sourceExcel2026":true},"materialForecastByKq":{"KQ-01-01":[0,0,0,0,0,0,0,0,0,0,0,0],"KQ-03-01":[0,0,0,0,0,0,0,0,0,0,0,0],"KQ-111-11":[0,0,0,0,0,0,0,0,0,0,0,0],"KQ-03-08":[0,0,0,0,0,0,0,0,0,0,0,0],"KQ-03-10":[0,0,0,0,0,0,0,0,0,0,0,0],"KQ-03-13":[0,0,0,0,0,0,0,0,0,0,0,0],"KQ-03-14":[0,0,0,0,0,0,0,0,0,0,0,0],"KQ-03-17":[0,0,0,0,0,0,0,0,0,0,0,0],"KQ-03-18":[0,0,0,0,0,0,0,0,0,0,0,0],"KQ-03-25":[0,0,0,0,0,0,0,0,0,0,0,0],"KQ-03-26":[0,0,0,0,0,0,0,0,0,0,0,0],"KQ-03-27":[0,0,0,0,0,0,0,0,0,0,0,0],"KQ-05-01":[0,0,0,0,0,0,0,0,0,0,0,0],"KQ-09-01":[0,0,0,0,0,0,0,0,0,0,0,0],"KQ-10-01":[8520.337,1742.2089999999998,2592.0369999999994,2115.9565,4863.0329999999985,14049.024499999998,3978.7334999999994,2411.1884999999997,58.3065,681.6284999999999,165.2805,110.187],"KQ-12-01":[6267.375,4243.1875,1137.3125,600.0625,5481.0625,6098,2123.625,1861.3125,271.6875,181.125,0,0],"KQ-12-02":[73647.375,58449.625,25895.625,10994.5,12645.124999999998,46191.375,22166.125,15130.5,2970.75,922.5,0,0],"KQ-12-03":[0,0,1334.375,2653.125,1352.125,949.9375,198.1875,493.8125,108.5625,72.375,0,0],"KQ-13-01":[100218.875,24642.25,15271.250000000002,41452.49999999999,26922.625,15042.5,4203.625,4666.625,1079.625,783.5,29.25,19.5],"KQ-16-01":[60.75,40.5,13663.125,29041.5,25299.75,30680.999999999996,31209.749999999996,38989.49999999999,45569.625,18165.75,6970.5,747],"KQ-18-02":[14.34375,9.5625,133.875,211.065625,68.371875,437.484375,104.709375,69.80624999999999,0,0,0,0],"KQ-19-01":[0,0,0,0,0,0,0,0,0,170.625,43.875,370.5],"KQ-19-05":[0,0,0,0,0,0,0,0,0,0,0,43.75],"KQ-20-02":[0,0,0,0,290.06249999999994,74.58749999999999,49.724999999999994,0,0,0,0,0],"KQ-20-03":[0,0,0,0,290.06249999999994,74.58749999999999,49.724999999999994,0,0,0,0,0],"KQ-22-01":[0,0,0,0,0,0,0,0,0,0,0,0],"KQ-22-02":[0,0,0,0,0,0,0,0,0,0,0,0],"KQ-22-03":[0,0,0,0,0,0,0,0,0,0,0,0],"KQ-23-01":[0,0,0,0,0,0,0,0,0,0,0,0],"KQ-23-02":[0,0,0,0,0,0,0,0,0,0,0,0],"KQ-24-01":[0,0,0,0,0,0,0,0,0,0,0,0],"KQ-25-01":[0,0,0,0,63278.6,21870.59,12287.49,3926.42,12074.49,6383.87,5668.58,1271.3999999999999],"KQ-25-02":[0,0,0,0,0,0,0,3023.183333333333,5249.689999999999,4691.463333333333,4567.253333333333,1295.6499999999999],"KQ-27-02":[0,0,0,0,0,0,0,0,0,0,0,0],"KQ-27-03":[0,0,0,0,0,0,0,0,0,0,0,0],"KQ-27-04":[0,0,0,0,0,0,0,0,0,0,0,0],"KQ-27-05":[0,0,0,0,0,0,0,0,0,0,0,0],"KQ-27-10":[0,0,0,0,0,0,0,0,0,0,0,0],"KQ-27-13":[0,0,0,0,0,0,0,0,0,0,0,0],"KQ-27-14":[0,0,0,0,0,0,0,0,0,0,0,0],"KQ-27-19":[0,0,0,0,0,0,0,0,0,0,0,0],"KQ-28-01":[0,0,0,0,0,0,0,0,0,0,0,0],"KQ-32-01":[0,0,0,0,0,0,0,0,0,0,0,0],"KQ-33-01":[0,0,0,0,0,0,0,0,0,0,0,0],"KQ-33-06":[0,0,0,0,0,0,0,0,0,0,0,0],"KQ-33-07":[0,0,0,0,0,0,0,0,0,0,0,0],"KQ-33-08":[0,0,0,0,0,0,0,0,0,0,0,0],"KQ-34-03":[0,0,0,0,0,0,0,0,0,0,0,0],"KQ-35-01":[0,0,0,0,0,0,0,0,0,0,0,0],"KQ-35-02":[0,0,0,0,0,0,0,0,0,0,0,0],"KQ-37-02":[0,0,0,0,0,0,0,0,0,0,0,0],"KQ-38-02":[0,0,7363.44,10956.951,7348.347,2519.424,643.788,1112.2649999999999,6236.2035,1992.8835,34053.0345,28017.501749999996],"KQ-38-03":[0,0,68.51249999999999,17.6175,11.745,12551.253749999998,3227.4652499999997,19267.247249999997,25848.481499999998,19541.855249999997,19871.16075,9970.249499999998],"KQ-38-05":[0,0,0,0,0,0,0,0,2371.005,1152.35325,583.8007499999999,102.74849999999999],"KQ-40-02":[0,0,0,0,0,0,0,1414,23982.999999999996,10492.159999999998,8573.22,24046.539999999997],"KQ-41-02":[0,0,0,0,0,0,0,0,247.1,342.84,114.17999999999999,47.879999999999995],"KQ-43-01":[0,0,0,0,0,0,0,0,157.5,571.275,735.2099999999999,710.5049999999999],"KQ-44-01":[0,0,0,0,0,0,0,0,0,0,0,0],"KQ-45-01":[0,0,0,0,0,0,0,0,0,0,0,0],"KQ-45-02":[0,0,0,0,0,0,0,0,0,0,0,0],"KQ-46-01":[0,0,0,0,0,0,0,3.5,0.8999999999999999,0.6,0,0],"KQ-46-02":[0,0,0,0,0,945.6999999999999,2134.4049999999997,119901.65999999999,137131.72499999998,66917.17,65600.34,15399.5],"KQ-46-03":[0,0,0,0,0,0,0,105,27,1330.5,337.5,225],"KQ-48-01":[0,0,0,0,0,0,0,0,0,0,0,0],"KQ-48-02":[0,0,0,0,0,0,0,0,0,0,0,0],"KQ-48-03":[0,0,0,0,0,0,0,0,0,0,0,0],"KQ-48-04":[0,0,0,0,0,0,0,0,0,0,0,0],"KQ-48-05":[0,0,0,0,0,0,0,0,0,0,0,0],"KQ-49-01":[0,0,0,0,0,0,0,0,0,0,0,0],"KQ-49-02":[0,0,0,0,0,0,0,0,0,0,0,0],"KQ-49-04":[0,0,0,0,0,0,0,0,0,0,0,0],"KQ-49-05":[0,0,0,0,0,0,0,0,0,0,0,0],"KQ-50-01":[0,0,0,0,0,0,0,0,0,0,0,0],"KQ-50-02":[0,0,0,0,0,0,0,0,0,0,0,0],"KQ-51-01":[0,0,0,0,0,98.37187499999999,150.04874999999998,4023.6743749999996,7126.4818749999995,4931.881874999999,3240.7525,1528.3825],"KQ-51-02":[37.5,463.77187499999997,1809.4056249999999,1052.06375,600.8824999999999,518.048125,354.2125,1080.8125,809.9206249999999,1256.2618749999997,1293.31,885.8718749999999],"KQ-55-01":[0,0,0,0,0,0,0,0,0,0,0,0],"KQ-56-02":[0,0,0,0,0,0,0,0,0,0,0,0],"KQ-57-01":[0,0,0,0,0,0,0,0,0,0,0,0],"KQ-57-02":[0,0,0,0,0,0,0,0,0,0,0,0],"KQ-57-03":[0,0,0,0,0,0,0,0,0,0,0,0],"KQ-58-01":[0,0,0,0,0,0,0,0,0,0,0,0],"KQ-59-01":[0,0,0,0,0,0,0,0,0,0,0,0],"KQ-59-02":[0,0,0,0,0,0,0,0,0,0,0,0],"KQ-60-01":[0,0,0,0,0,0,0</t>
        </is>
      </c>
    </row>
    <row r="10">
      <c r="A10" t="inlineStr">
        <is>
          <t>,0,0,0,0,0],"KQ-60-02":[0,0,0,0,0,0,0,0,0,0,0,0],"KQ-60-03":[0,0,0,0,0,0,0,0,0,0,0,0],"KQ-60-04":[0,0,0,0,0,0,0,0,0,0,0,0],"KQ-60-05":[0,0,0,0,0,0,0,0,0,0,0,0],"KQ-60-07":[0,0,0,0,0,0,0,0,0,0,0,0],"KQ-61-01":[0,0,0,0,0,0,0,0,0,0,0,0],"KQ-61-02":[0,0,0,0,0,0,0,0,0,0,0,0],"KQ-62-01":[0,0,0,0,0,0,2382.7999999999997,11567.72,21024.379999999997,13006.16,20343.059999999998,5136.36],"KQ-62-02":[0,0,0,0,0,0,0,0,0,0,0,0],"KQ-62-03":[0,0,0,0,0,0,0,0,0,0,0,0],"KQ-62-05":[0,0,0,0,0,0,0,0,10500,2700,15043.3,3405.42],"KQ-63-01":[0,0,0,0,0,0,0,0,0,0,0,0],"KQ-63-06":[0,0,0,0,0,0,0,0,0,0,0,0],"KQ-63-07":[0,0,0,0,0,0,0,0,0,0,0,0],"KQ-64-01":[0,0,0,0,183.75,47.25,31.5,0,0,171.58749999999998,117.92874999999998,149.01874999999998],"KQ-64-02":[0,0,0,0,0,0,0,0,0,41.125,196.64374999999998,630.4275],"KQ-64-05":[0,0,0,0,0,0,0,0,0,0,0,0],"KQ-65-02":[0,0,0,0,0,0,0,0,0,0,393.75,101.25],"KQ-66-02":[0,0,0,0,0,0,0,394.58124999999995,290.85749999999996,510.92499999999995,528.5124999999999,169.10625],"KQ-66-03":[0,0,0,0,0,0,0,0,0,0,0,0],"KQ-67-01":[0,0,0,0,0,0,0,1888.0341666666666,2373.5286666666666,2697.1916666666666,809.1574999999999,323.66299999999995],"KQ-67-02":[0,0,0,0,0,0,0,12285.699999999999,47363.479999999996,20557.64,9399.66,1214.52],"KQ-67-03":[0,0,0,0,0,0,0,978.0312499999999,138425.36875,361406.66562499997,107440.58437499999,77962.31875],"KQ-67-04":[0,0,0,0,0,0,0,0,0,0,0,0],"KQ-67-07":[0,0,0,0,0,0,0,70.08749999999999,1566.7725,4356.427500000001,1280.2275,676.4850000000001],"KQ-67-08":[0,0,0,0,0,0,0,0,1072.3125,275.7375,183.825,0],"KQ-68-05":[0,0,0,0,0,0,0,318.6225,81.9315,54.621,0,0],"KQ-68-02":[0,0,0,0,0,0,0,10.5,2.6999999999999997,54.3,13.5,9],"KQ-68-03":[0,0,0,0,0,0,0,0,0,0,0,0],"KQ-68-07":[0,0,0,0,0,0,0,0,0,0,0,0],"KQ-69-01":[2677.8,9256,12465.650000000001,19288.499999999996,6274.2,3097.0499999999997,1244.7,324.45,180.9,0,0,0],"KQ-69-02":[0,0,0,0,0,0,730.58125,1557.3991666666666,1846.9441666666667,1956.4791666666665,586.94375,3386.5275],"KQ-69-03":[2.9175,0,0,438.41875,4166.08625,3430.6412499999997,2460.1249999999995,2146.3,964.535,582.53125,673.00875,951.495],"KQ-69-04":[0,0,0,0,0,0,0,617.6187499999999,1381.2933333333335,1642.7058333333334,1746.3958333333335,523.91875],"KQ-69-06":[0,0,0,0,0,0,0,0,0,0,0,0],"KQ-71-01":[0,0,0,0,1695.815625,5957.505000000001,1710.5096250000001,946.5322500000001,0,0,0,0],"KQ-71-02":[0,0,2.3625,0.6074999999999999,3589.17375,12600.401249999999,3618.0225,2001.87,0,0,0,152.64375],"KQ-71-03":[0,0,0,0,22938.125,130434.93749999997,84595,52992.5625,13258.875,3280.5,0,12481.875],"KQ-71-10":[0,0,0,0,0,0,0,0,0,0,0,0]},"primaryMonthsWithDocuments":[true,false,true,true,true,true,true,true,false,false,false,false],"paymentActualMonths":[true,true,true,true,true,true,true,true,false,false,false,false],"cashFlowBasis":"source_model","kqEstimate":[{"code":"KQ-32-01","name":"Сварка технологических трубопроводов (черн. стали), DI","unit":"ед.","quantity":72201.32699999996,"laborHours":241043.8231690781,"machineHours":29832.15888145177,"cost":11424902.4776793,"materialsCost":0,"materialsRows":65,"sourceRows":65,"sourceKeys":["auto-db2f2c19","auto-da2f2a86","auto-e52f3bd7","auto-e42f3a44","auto-e3317748","auto-e43178db","auto-e5317a6e","auto-e6317c01","auto-e7317d94","auto-e8317f27","auto-e93180ba","auto-ea31824d","auto-db316ab0","auto-dc316c43","auto-e933bf51","auto-e833bdbe","auto-e733bc2b","auto-e633ba98","auto-ed33c59d","auto-ec33c40a","auto-eb33c277","auto-ea33c0e4","auto-e133b2b9","auto-e033b126","auto-6b6c8b0d","auto-6a6c897a","auto-696c87e7","auto-686c8654","auto-8cb5fd0f","auto-8bb5fb7c","auto-8eb60035","auto-8db5fea2","auto-90b6035b","auto-8fb601c8","auto-9ea4d044","auto-9fa4d1d7","auto-a0a4d36a","auto-a1a4d4fd","auto-9aa4c9f8","auto-9ba4cb8b","auto-9ca4cd1e","auto-9da4ceb1","auto-96a4c3ac","auto-97a4c53f","auto-a4a7184d","auto-a3a716ba","auto-a2a71527","auto-a1a71394","auto-a0a71201","auto-9fa7106e","auto-9ea70edb","auto-9da70d48","auto-9ca70bb5","auto-9ba70a22","auto-86b7d8b9","auto-85b7d726","auto-84b7d593","auto-83b7d400","auto-8ab7df05","auto-89b7dd72","auto-88b7dbdf","auto-87b7da4c","auto-8eb7e551","auto-8db7e3be","auto-80b590b0"],"stableKey":"auto-b0b87459","rate":158.23673819290477,"scheduledQuantity":29132.44,"scheduledCost":4609822.281200507,"quantityVariance":-43068.88699999996,"scheduleRows":1},{"code":"KQ-33-01","name":"Монтаж технологических трубопроводов на эстакаде (стальные), м","unit":"ед.","quantity":27049.596000000143,"laborHours":200119.57998532578,"machineHours":27454.0178276175,"cost":9779513.974465769,"materialsCost":0,"materialsRows":23,"sourceRows":23,"sourceKeys":["auto-6c99b078","auto-6d99b20b","auto-6a9bebe9","auto-699bea56","auto-689be8c3","auto-679be730","auto-6e9bf235","auto-6d9bf0a2","auto-29003f14","auto-aff8c4d4","auto-b0f8c667","auto-b1f8c7fa","auto-b2f8c98d","auto-abf8be88","auto-acf8c01b","auto-adf8c1ae","auto-aef8c341","auto-a7f8b83c","auto-a8f8b9cf","auto-b5fb0cdd","auto-b4fb0b4a","auto-b3fb09b7","auto-b2fb0824"],"stableKey":"auto-dc5998b8","rate":361.54011226140744,"scheduledQuantity":69067.83,"scheduledCost":8656485.062315293,"quantityVariance":42018.23399999986,"scheduleRows":3},{"code":"KQ-13-01","name":"Устройство монолитных конструкций выше 0, м3","unit":"ед.","quantity":1309.45,"laborHours":112003.64645918985,"machineHours":7782.5629447138635,"cost":4261229.608566901,"materialsCost":0,"materialsRows":22,"sourceRows":22,"sourceKeys":["auto-e2ea1e4d","auto-dfea1994","auto-e0ea1b27","auto-ddea166e","auto-53f18bf5","auto-5af196fa","auto-4def43ec","auto-4eef457f","auto-4fef4712","auto-90aa19ca","auto-8faa1837","auto-8eaa16a4","auto-8daa1511","auto-f8acfc19","auto-05af4f27","auto-04af4d94","auto-f39de9b0","auto-f49deb43","auto-dd125608","auto-dc125475","auto-db1252e2","auto-de101904"],"stableKey":"auto-afdcb29a","rate":3254.213302200848,"scheduledQuantity":352.45,"scheduledCost":1146947.4783606888,"quantityVariance":-957,"scheduleRows":1},{"code":"KQ-48-01","name":"Монтаж кабеля КИПиА, м","unit":"ед.","quantity":224924,"laborHours":99246.85286344783,"machineHours":9517.548952357602,"cost":3404972.611232928,"materialsCost":0,"materialsRows":45,"sourceRows":45,"sourceKeys":["auto-cee863f2","auto-cfe86585","auto-c8e85a80","auto-c9e85c13","auto-cae85da6","auto-cbe85f39","auto-d4e86d64","auto-d5e86ef7","auto-5ef00267","auto-5df000d4","auto-60f0058d","auto-5ff003fa","auto-5aeffc1b","auto-59effa88","auto-5cefff41","auto-5beffdae","auto-56eff5cf","auto-55eff43c","auto-58edba5e","auto-59edbbf1","auto-56edb738","auto-57edb8cb","auto-5cedc0aa","auto-5dedc23d","auto-5aedbd84","auto-5bedbf17","auto-50edadc6","auto-1b52854c","auto-1c5286df","auto-19528226","auto-1a5283b9","auto-17527f00","auto-18528093","auto-2552950a","auto-2652969d","auto-af5a2a0d","auto-ae5a287a","auto-ad5a26e7","auto-ac5a2554","auto-ab5a23c1","auto-aa5a222e","auto-a95a209b","auto-a85a1f08","auto-a75a1d75","auto-a65a1be2"],"stableKey":"auto-3684a862","rate":15.138324995255855,"scheduledQuantity":284446.73000000004,"scheduledCost":4306047.042577794,"quantityVariance":59522.73000000004,"scheduleRows":1},{"code":"KQ-45-01","name":"Монтаж кабельных лотков, м","unit":"ед.","quantity":29231.435999999994,"laborHours":79543.62746295433,"machineHours":3125.076445177548,"cost":2489102.3061178494,"materialsCost":0,"materialsRows":18,"sourceRows":18,"sourceKeys":["auto-dc22e10e","auto-db22df7b","auto-da22dde8","auto-d922dc55","auto-d822dac2","auto-40f24bde","auto-41f24d71","auto-3ef248b8","auto-3ff24a4b","auto-4b7650c3","auto-507658a2","auto-51765a35","auto-4e76557c","auto-4f76570f","auto-54765eee","auto-55766081","auto-dd7df25e","auto-dc7df0cb"],"stableKey":"auto-5236faa7","rate":85.15155759429163,"scheduledQuantity":29726.989999999994,"scheduledCost":2531299.501089931,"quantityVariance":495.5540000000001,"scheduleRows":1},{"code":"KQ-23-02","name":"Монтаж металлоконструкций усиления, т","unit":"ед.","quantity":191.84,"laborHours":60040.71635376319,"machineHours":4683.418249359819,"cost":2125772.354795045,"materialsCost":0,"materialsRows":1,"sourceRows":1,"sourceKeys":["auto-179bf886"],"stableKey":"auto-093f384e","rate":11080.965152184348,"scheduledQuantity":4.16,"scheduledCost":46096.81503308689,"quantityVariance":-187.68,"scheduleRows":1},{"code":"KQ-12-02","name":"Устройство монолитных конструкций ниже 0 (за исключением колодцев), м3","unit":"ед.","quantity":1778.4700000000003,"laborHours":45721.47248211451,"machineHours":8225.059225152785,"cost":2034516.3911157253,"materialsCost":0,"materialsRows":15,"sourceRows":15,"sourceKeys":["auto-535bd878","auto-57605bf2","auto-56605a5f","auto-556058cc","auto-52605413","auto-60606a1d","auto-ef1b7b9f","auto-6020aab0","auto-6120ac43","auto-6620b422","auto-6720b5b5","auto-6420b0fc","auto-6520b28f","auto-6822f5df","auto-6522f126"],"stableKey":"auto-0e54ddd6","rate":1143.970036669567,"scheduledQuantity":386.00000000000006,"scheduledCost":441572.43415445293,"quantityVariance":-1392.4700000000003,"scheduleRows":1},{"code":"KQ-48-04","name":"Расключение кабеля КИПиА, шт. (конец кабеля)","unit":"ед.","quantity":12370,"laborHours":58439.160697379586,"machineHours":1863.5657513552171,"cost":1753262.5417062335,"materialsCost":0,"materialsRows":35,"sourceRows":35,"sourceKeys":["auto-7b7b38f5","auto-7a7b3762","auto-757b2f83","auto-747b2df0","auto-777b32a9","auto-767b3116","auto-817b4267","auto-807b40d4","auto-7378edc6","auto-7478ef59","auto-7178eaa0","auto-7278ec33","auto-7778f412","auto-7878f5a5","auto-7578f0ec","auto-7678f27f","auto-7b78fa5e","auto-7c78fbf1","auto-0d760e9d","auto-0c760d0a","auto-09760851","auto-3bffe2f1","auto-38ffde38","auto-39ffdfcb","auto-36ffdb12","auto-37ffdca5","auto-38fd9fa1","auto-37fd9e0e","auto-36fd9c7b","auto-35fd9ae8","auto-3cfda5ed","auto-3bfda45a","auto-3afda2c7","auto-39fda134","auto-b3fa8fab"],"stableKey":"auto-3384a3a9","rate":141.735047833972,"scheduledQuantity":4615.3099999999995,"scheduledCost":654151.1836186092,"quantityVariance":-7754.6900000000005,"scheduleRows":1},{"code":"KQ-33-07","name":"Монтаж арматуры технологических трубопроводов, шт.","unit":"ед.","quantity":4072,"laborHours":29091.71247236119,"machineHours":6355.0639200887945,"cost":1592696.0660619645,"materialsCost":0,"materialsRows":37,"sourceRows":37,"sourceKeys":["auto-eaa98960","auto-eda98e19","auto-eca98c86","auto-f7a99dd7","auto-f6a99c44","auto-e9a74936","auto-eaa74ac9","auto-e7a74610","auto-e8a747a3","auto-eda74f82","auto-eea75115","auto-eba74c5c","auto-eca74def","auto-f1a755ce","auto-f2a75761","auto-83a46a0d","auto-82a4687a","auto-81a466e7","auto-543811ec","auto-5538137f","auto-52380ec6","auto-53381059","auto-50380ba0","auto-51380d33","auto-5e3821aa","auto-5f38233d","auto-5035cd09","auto-4f35cb76","auto-4e35c9e3","auto-4d35c850","auto-5435d355","auto-5335d1c2","auto-5235d02f","auto-5135ce9c","auto-5835d9a1","auto-5735d80e","auto-ca32bb80"],"stableKey":"auto-e259a22a","rate":391.133611508341,"scheduledQuantity":4307.0599999999995,"scheduledCost":1684635.932783115,"quantityVariance":235.0599999999995,"scheduleRows":1},{"code":"KQ-22-02","name":"Монтаж основных металлоконструкций этажерок и структур, т","unit":"ед.","quantity":534.7888230000001,"laborHours":29897.703604813978,"machineHours":7407.805936401488,"cost":1592331.7092983085,"materialsCost":347.5788230000001,"materialsRows":3,"sourceRows":3,"sourceKeys":["auto-d1cfe051","auto-0e2cab11","auto-0f397897"],"stableKey":"auto-09c60f9f","rate":2977.4962392927728,"scheduledQuantity":756.3600000000001,"scheduledCost":2252059.055551482,"quantityVariance":221.57117700000003,"scheduleRows":1},{"code":"KQ-27-05","name":"Монтаж блочных и комплектных установок, т","unit":"ед.","quantity":336.08,"laborHours":15910.490601586731,"machineHours":3680.491884064522,"cost":1226687.207172561,"materialsCost":0,"materialsRows":5,"sourceRows":5,"sourceKeys":["auto-c703647e","auto-c8036611","auto-c5036158","auto-c60362eb","auto-d7669176"],"stableKey":"auto-ac586773","rate":3649.9857390280918,"scheduledQuantity":599.9100000000001,"scheduledCost":2189662.9447003426,"quantityVariance":263.8300000000001,"scheduleRows":1},{"code":"KQ-22-03","name":"Монтаж основных металлоконструкций эстакад, т","unit":"ед.","quantity":318.37,"laborHours":21135.19058789225,"machineHours":5226.351667051665,"cost":1123695.6305744587,"materialsCost":0,"materialsRows":2,"sourceRows":2,"sourceKeys":["auto-d5ac7d3d","auto-c3aa2250"],"stableKey":"auto-08c60e0c","rate":3529.527375614721,"scheduledQuantity":39.58,"scheduledCost":139698.69352683067,"quantityVariance":-278.79,"scheduleRows":1},{"code":"KQ-49-01","name":"Монтаж силового кабеля до 1 кВ, м","unit":"ед.","quantity":77773.30000000002,"laborHours":30769.633024847524,"machineHours":3309.4077540524227,"cost":1079780.0414139472,"materialsCost":0,"materialsRows":27,"sourceRows":27,"sourceKeys":["auto-c2339d72","auto-c3339f05","auto-c433a098","auto-c533a22b","auto-56595747","auto-555955b4","auto-58595a6d","auto-575958da","auto-525950fb","auto-51594f68","auto-54595421","auto-5359528e","auto-4e594aaf","auto-4d59491c","auto-d05645be","auto-d1564751","auto-588f135b","auto-55914d39","auto-54914ba6","auto-53914a13","auto-52914880","auto-59915385","auto-589151f2","auto-5791505f","auto-56914ecc","auto-5d9159d1","auto-5c91583e"],"stableKey":"auto-fa5031ab","rate":13.883685550361719,"scheduledQuantity":74940.63,"scheduledCost":1040452.141866004,"quantityVariance":-2832.670000000013,"scheduleRows":1},{"code":"KQ-40-02","name":"Тепловая изоляция технологических трубопроводов, м2","unit":"ед.","quantity":6243.509999999998,"laborHours":40633.90342536783,"machineHours":851.1090348157868,"cost":1007646.1957656067,"materialsCost":0,"materialsRows":6,"sourceRows":6,"sourceKeys":["auto-303559de","auto-2f3796e2","auto-30379875","auto-eccfc3dd","auto-ebcfc24a","auto-6ad2c8ce"],"stableKey":"auto-8f6d3227","rate":161.39097971583405,"scheduledQuantity":787.19,"scheduledCost":127045.36532250741,"quantityVariance":-5456.319999999998,"scheduleRows":1},{"code":"KQ-23-01","name":"Монтаж второстепенных металлоконструкций, т","unit":"ед.","quantity":165.34,"laborHours":22984.36122261245,"machineHours":3593.1022249255266,"cost":1002801.6025753528,"materialsCost":0,"materialsRows":5,"sourceRows":5,"sourceKeys":["auto-8c89c28a","auto-8087710f","auto-9ae25f00","auto-14e9dad3","auto-13e9d940"],"stableKey":"auto-083f36bb","rate":6065.087713652792,"scheduledQuantity":244.95,"scheduledCost":1485643.2354592513,"quantityVariance":79.60999999999999,"scheduleRows":1},{"code":"KQ-38-03","name":"АКЗ металлоконструкций, м2","unit":"ед.","quantity":4431.58,"laborHours":34415.27507917947,"machineHours":885.4314525652794,"cost":956131.7526487475,"materialsCost":0,"materialsRows":4,"sourceRows":4,"sourceKeys":["auto-6073e679","auto-0556b5cb","auto-8e5e493b","auto-8d5e47a8"],"stableKey":"auto-73d48649","rate":215.75414471785402,"scheduledQuantity":3397.0499999999997,"scheduledCost":732927.617313786,"quantityVariance":-1034.5300000000002,"scheduleRows":1},{"code":"KQ-34-01","name":"Монтаж теплоспутников трубопроводов, м","unit":"ед.","quantity":5441.425,"laborHours":20915.326668638103,"machineHours":2653.0217791519663,"cost":936473.2462900608,"materialsCost":0,"materialsRows":2,"sourceRows":2,"sourceKeys":["auto-c72f5fc5","auto-89917aa5"],"stableKey":"auto-e14295af","rate":172.10073579807877,"scheduledQuantity":0,"scheduledCost":0,"quantityVariance":-5441.425,"scheduleRows":0},{"code":"KQ-09-03","name":"Щитовое ограждение котлованов и траншей, м2","unit":"ед.","quantity":2833.15,"laborHours":15719.460608123329,"machineHours":5115.838547913835,"cost":919585.9504136117,"materialsCost":0,"materialsRows":2,"sourceRows":2,"sourceKeys":["auto-05eb93e0","auto-a6185009"],"stableKey":"auto-da7f2485","rate":324.58074948859456,"scheduledQuantity":0,"scheduledCost":0,"quantityVariance":-2833.15,"scheduleRows":0},{"code":"KQ-09-01","name":"Разработка грунта с погрузкой, м3","unit":"ед.","quantity":11083.060000000001,"laborHours":7957.75463015346,"machineHours":8555.224563020653,"cost":916741.1915177174,"materialsCost":0,"materialsRows":11,"sourceRows":11,"sourceKeys":["auto-5b7613af","auto-60761b8e","auto-61761d21","auto-f2732fcd","auto-f1732e3a","auto-360f4073","auto-370f4206","auto-380f4399","auto-390f452c","auto-3a0f46bf","auto-3b0f4852"],"stableKey":"auto-d87f215f","rate":82.71553086581841,"scheduledQuantity":1807.6899999999998,"scheduledCost":149524.03799083128,"quantityVariance":-9275.37,"scheduleRows":1},{"code":"KQ-11-02","name":"Устройство буронабивных свай, м","unit":"ед.","quantity":3273,"laborHours":14532.571111569461,"machineHours":9836.62521752108,"cost":886721.7033423655,"materialsCost":0,"materialsRows":6,"sourceRows":6,"sourceKeys":["auto-83bd6596","auto-84bd6729","auto-0db172e1","auto-6453653c","auto-655366cf","auto-66536862"],"stableKey":"auto-500d00c9","rate":270.9201660074444,"scheduledQuantity":0,"scheduledCost":0,"quantityVariance":-3273,"scheduleRows":0},{"code":"KQ-71-03","name":"Устройство бетонных покрытий, м3","unit":"ед.","quantity":610.59,"laborHours":13908.505019911681,"machineHours":4729.49257842222,"cost":827147.2815197505,"materialsCost":0,"materialsRows":8,"sourceRows":8,"sourceKeys":["auto-868b1051","auto-007f046c","auto-ac5c81ae","auto-ab5ebeb2","auto-3061cea8","auto-3561d687","auto-3461d4f4","auto-3761d9ad"],"stableKey":"auto-3f49dbe8","rate":1354.6688965095243,"scheduledQuantity":1041.06,"scheduledCost":1410291.6014002054,"quantityVariance":430.4699999999999,"scheduleRows":1},{"code":"KQ-25-01","name":"Монтаж стеновых сэндвич панелей, м2","unit":"ед.","quantity":2511.59,"laborHours":6571.313972640943,"machineHours":2759.6968789860894,"cost":798922.4642247539,"materialsCost":0,"materialsRows":2,"sourceRows":2,"sourceKeys":["auto-6b8511fa","auto-2d8d62c8"],"stableKey":"auto-e55d1e2d","rate":318.09430051272454,"scheduledQuantity":2545.4000000000005,"scheduledCost":809677.2325250892,"quantityVariance":33.8100000000004,"scheduleRows":1},{"code":"KQ-38-02","name":"АКЗ трубопроводов, м2","unit":"ед.","quantity":7580.229999999884,"laborHours":24122.073458568746,"machineHours":2520.9094209205755,"cost":779710.5283464402,"materialsCost":0,"materialsRows":13,"sourceRows":13,"sourceKeys":["auto-434fbedc","auto-464fc395","auto-454fc202","auto-404fba23","auto-1f8b9d07","auto-1e8b9b74","auto-1d8b99e1","auto-1c8b984e","auto-1b8b96bb","auto-1a8b9528","auto-198b9395","auto-188b9202","auto-9b888ea4"],"stableKey":"auto-72d484b6","rate":102.86106468358507,"scheduledQuantity":3385.17,"scheduledCost":348202.19033493166,"quantityVariance":-4195.059999999884,"scheduleRows":1},{"code":"KQ-10-01","name":"Обратная засыпка грунта с уплотнением, м3","unit":"ед.","quantity":9071.5,"laborHours":9197.023265792559,"machineHours":4235.482807744962,"cost":621775.8772784411,"materialsCost":0,"materialsRows":10,"sourceRows":10,"sourceKeys":["auto-a7be0ab3","auto-a6be0920","auto-adbe1425","auto-acbe1292","auto-21f85939","auto-2af86764","auto-2bf868f7","auto-b91299a2","auto-ba129b35","auto-b712967c"],"stableKey":"auto-c16b4091","rate":68.54168299382033,"scheduledQuantity":1894.8600000000001,"scheduledCost":129876.8934376704,"quantityVariance":-7176.639999999999,"scheduleRows":1},{"code":"KQ-35-01","name":"Неразрушающий контроль стыков (РК), стык","unit":"ед.","quantity":6326.800000000451,"laborHours":11903.947906472687,"machineHours":683.5964198959606,"cost":592546.6641691517,"materialsCost":0,"materialsRows":21,"sourceRows":21,"sourceKeys":["auto-a4b71c67","auto-a5b71dfa","auto-a6b71f8d","auto-97b707f0","auto-98b70983","auto-a5b95c91","auto-a4b95afe","auto-a3b9596b","auto-a2b957d8","auto-a9b962dd","auto-a8b9614a","auto-602e5b43","auto-612e5cd6","auto-622e5e69","auto-6b2e6c94","auto-6c2e6e27","auto-6930a805","auto-6830a672","auto-6730a4df","auto-6630a34c","auto-6530a1b9"],"stableKey":"auto-637a87c6","rate":93.65661379672338,"scheduledQuantity":43894.11,"scheduledCost":4110973.7082208935,"quantityVariance":37567.30999999955,"scheduleRows":1},{"code":"KQ-49-04","name":"Расключение силового кабеля до 1 кВ, шт. (конец кабеля)","unit":"ед.","quantity":7077.400000000001,"laborHours":14065.77189942626,"machineHours":668.7226018132419,"cost":436808.30520549597,"materialsCost":0,"materialsRows":39,"sourceRows":39,"sourceKeys":["auto-50ef0622","auto-51ef07b5","auto-4aeefcb0","auto-4beefe43","auto-4ceeffd6","auto-4def0169","auto-56ef0f94","auto-57ef1127","auto-97aa670c","auto-98aa689f","auto-99aa6a32","auto-9aaa6bc5","auto-93aa60c0","auto-94aa6253","auto-95aa63e6","auto-96aa6579","auto-9faa73a4","auto-a0aa7537","auto-1dad7895","auto-1cad7702","auto-1bad756f","auto-1aad73dc","auto-19ad7249","auto-18ad70b6","auto-17ad6f23","auto-16ad6d90","auto-ec239f88","auto-ed23a11b","auto-ee23a2ae","auto-ef23a441","auto-f023a5d4","auto-f123a767","auto-f223a8fa","auto-f323aa8d","auto-e42392f0","auto-e5239483","auto-f225e791","auto-f125e5fe","auto-f025e46b"],"stableKey":"auto-fd503664","rate":61.718753384787625,"scheduledQuantity":8966,"scheduledCost":553370.3428480058,"quantityVariance":1888.5999999999995,"scheduleRows":1},{"code":"KQ-33-06","name":"Монтаж опор технологических трубопроводов, т","unit":"ед.","quantity":18.52044000000037,"laborHours":9193.73475476321,"machineHours":351.2248609295091,"cost":376723.18226023286,"materialsCost":0,"materialsRows":4,"sourceRows":4,"sourceKeys":["auto-54860eb2","auto-4f8606d3","auto-89cf46b5","auto-86cf41fc"],"stableKey":"auto-e359a3bd","rate":20340.94126598641,"scheduledQuantity":33.25,"scheduledCost":676336.2970940481,"quantityVariance":14.72955999999963,"scheduleRows":1},{"code":"KQ-34-03","name":"Монтаж стальных трубопроводов теплых полов технологических зон, м","unit":"ед.","quantity":3360,"laborHours":13147.049055191574,"machineHours":128.1536603072982,"cost":365956.9212454315,"materialsCost":0,"materialsRows":2,"sourceRows":2,"sourceKeys":["auto-31f3c180","auto-fe44a2fd"],"stableKey":"auto-e34298d5","rate":108.91575037066414,"scheduledQuantity":5041.79,"scheduledCost":549130.3410613107,"quantityVariance":1681.79,"scheduleRows":1},{"code":"KQ-48-02","name":"Монтаж оптического кабеля, м","unit":"ед.","quantity":16017,"laborHours":7128.287996012354,"machineHours":1908.4300442065983,"cost":326967.6402551752,"materialsCost":0,"materialsRows":5,"sourceRows":5,"sourceKeys":["auto-84fc582b","auto-860da2df","auto-4b9254ba","auto-4c92564d","auto-49925194"],"stableKey":"auto-3584a6cf","rate":20.413787866340463,"scheduledQuantity":10364.22,"scheduledCost":211572.98848008315,"quantityVariance":-5652.780000000001,"scheduleRows":1},{"code":"KQ-24-01","name":"Монтаж решетчатого настила, м2","unit":"ед.","quantity":2447.3,"laborHours":7411.485377288016,"machineHours":1101.5400632763294,"cost":317367.2295969598,"materialsCost":0,"materialsRows":2,"sourceRows":2,"sourceKeys":["auto-11a3ed4c","auto-0846db87"],"stableKey":"auto-aaaae2ec","rate":129.68055800145456,"scheduledQuantity":288.23,"scheduledCost":37377.82723275925,"quantityVariance":-2159.07,"scheduleRows":1},{"code":"KQ-60-01","name":"Монтаж приборов КИПиА, шт.","unit":"ед.","quantity":923,"laborHours":8286.764193903098,"machineHours":1225.1670596113029,"cost":313267.0289476179,"materialsCost":0,"materialsRows":38,"sourceRows":38,"sourceKeys":["auto-fbf12c64","auto-c2f98511","auto-c1f9837e","auto-bcf97b9f","auto-bbf97a0c","auto-bef7402e","auto-bff741c1","auto-bcf73d08","auto-bdf73e9b","auto-c1f744e7","auto-b6f73396","auto-b7f73529","auto-b0d6d679","auto-afd6d4e6","auto-aed6d353","auto-add6d1c0","auto-b2d6d99f","auto-b1d6d80c","auto-b8d6e311","auto-aad48e70","auto-abd49003","auto-acd49196","auto-7336b2c2","auto-e92f1dbf","auto-e62f1906","auto-e72f1a99","auto-e42f15e0","auto-e52f1773","auto-f22f2bea","auto-f32f2d7d","auto-694a2abc","auto-684a2929","auto-674a2796","auto-664a2603","auto-654a2470","auto-744a3c0d","auto-734a3a7a","auto-6947ec25"],"stableKey":"auto-711d7d34","rate":339.40089810142786,"scheduledQuantity":260,"scheduledCost":88244.23350637124,"quantityVariance":-663,"scheduleRows":1},{"code":"KQ-97-11","name":"Контурные тестирования КИПиА (технологические системы), шт.","unit":"ед.","quantity":984,"laborHours":6766.607754591638,"machineHours":105.11526806935612,"cost":312676.1213995962,"materialsCost":0,"materialsRows":4,"sourceRows":4,"sourceKeys":["auto-416f091b","auto-406f0788","auto-7bba8794","auto-6aa923b0"],"stableKey":"auto-b2abe653","rate":317.7602859751994,"scheduledQuantity":0,"scheduledCost":0,"quantityVariance":-984,"scheduleRows":0},{"code":"KQ-16-01","name":"Устройство безусадочной подливки, м3","unit":"ед.","quantity":61.14999999999999,"laborHours":8889.173066095556,"machineHours":616.542733722911,"cost":272405.15699837275,"materialsCost":0,"materialsRows":6,"sourceRows":6,"sourceKeys":["auto-5194a81f","auto-5294a9b2","auto-5394ab45","auto-20b22b94","auto-23b2304d","auto-22b22eba"],"stableKey":"auto-71a67987","rate":4454.7041209872905,"scheduledQuantity":128.18,"scheduledCost":571003.9742281509,"quantityVariance":67.03000000000002,"scheduleRows":1},{"code":"KQ-41-02","name":"Холодоизоляция технологических трубопроводов (пеностеклом), м2","unit":"ед.","quantity":950.17,"laborHours":9630.917394541917,"machineHours":144.88131954953042,"cost":234621.9184810058,"materialsCost":0,"materialsRows":7,"sourceRows":7,"sourceKeys":["auto-7912c0ce","auto-7a12c261","auto-7b12c3f4","auto-3cc73f2f","auto-3dc740c2","auto-3ec74255","auto-37c73750"],"stableKey":"auto-6da8f3f6","rate":246.92625370302767,"scheduledQuantity":7.52,"scheduledCost":1856.885427846768,"quantityVariance":-942.65,"scheduleRows":1},{"code":"KQ-27-02","name":"Монтаж статического колонного и емкостного оборудования, т","unit":"ед.","quantity":146.18999999999997,"laborHours":3754.2065126938405,"machineHours":339.8035406659816,"cost":213169.74666493083,"materialsCost":0,"materialsRows":11,"sourceRows":11,"sourceKeys":["auto-263fb46f","auto-233fafb6","auto-243fb149","auto-213fac90","auto-223fae23","auto-2f3fc29a","auto-5b9eb2c1","auto-2784810b","auto-2884829e","auto-2b848757","auto-2a8485c4"],"stableKey":"auto-b1586f52","rate":1458.1691406042196,"scheduledQuantity":95.28,"scheduledCost":138934.35571677005,"quantityVariance":-50.90999999999997,"scheduleRows":1},{"code":"KQ-58-01","name":"Монтаж щитового оборудования КИПиА, шт.","unit":"ед.","quantity":133,"laborHours":4835.53626858136,"machineHours":1159.5491679183433,"cost":212714.89217098305,"materialsCost":0,"materialsRows":8,"sourceRows":8,"sourceKeys":["auto-a4a9765f","auto-a3a974cc","auto-a7a97b18","auto-561a8106","auto-541a7de0","auto-5a1a8752","auto-f69911f7","auto-719c122f"],"stableKey":"auto-90ab64f5","rate":1599.3600915111508,"scheduledQuantity":114.99000000000001,"scheduledCost":183910.41692286724,"quantityVariance":-18.00999999999999,"scheduleRows":1},{"code":"KQ-04-02","name":"Транспортировка отходов на полигон или площадку складирования, т*км","unit":"ед.","quantity":44445.35566666667,"laborHours":0,"machineHours":1846.5046302781961,"cost":211201.05311074646,"materialsCost":0,"materialsRows":4,"sourceRows":4,"sourceKeys":["auto-7d1a9ea0","auto-759582ec","auto-7695847f","auto-77958612"],"stableKey":"auto-c445b657","rate":4.751926268623473,"scheduledQuantity":0,"scheduledCost":0,"quantityVariance":-44445.35566666667,"scheduleRows":0},{"code":"KQ-59-01","name":"Монтаж оконечных и распределительных устройств силовых сетей, шт.","unit":"ед.","quantity":2214,"laborHours":6073.916706432307,"machineHours":493.88175333716185,"cost":202423.94922836893,"materialsCost":0,"materialsRows":10,"sourceRows":10,"sourceKeys":["auto-def283f1","auto-dbf27f38","auto-dff4c41b","auto-e0f4c5ae","auto-b068af9d","auto-ae68ac77","auto-ad68aae4","auto-a4689cb9","auto-f618c6cd","auto-f418c3a7"],"stableKey":"auto-76490df4","rate":91.42906469212689,"scheduledQuantity":1502.25,"scheduledCost":137349.3124337476,"quantityVariance":-711.75,"scheduleRows":1},{"code":"KQ-69-02","name":"Отделка стен, м2","unit":"ед.","quantity":1403.11,"laborHours":5119.184486442122,"machineHours":253.6147846241882,"cost":193699.43090982776,"materialsCost":0,"materialsRows":3,"sourceRows":3,"sourceKeys":["auto-c292da43","auto-cf92eeba","auto-d092f04d"],"stableKey":"auto-4fd4ab04","rate":138.05006799882244,"scheduledQuantity":1826.5,"scheduledCost":252148.4491998492,"quantityVariance":423.3900000000001,"scheduleRows":1},{"code":"KQ-69-03","name":"Устройство полов, м2","unit":"ед.","quantity":202.42,"laborHours":4651.033401190371,"machineHours":269.6610871200631,"cost":184856.27809654924,"materialsCost":0,"materialsRows":9,"sourceRows":9,"sourceKeys":["auto-1c9b4bec","auto-9393b87c","auto-9493ba0f","auto-8f93b230","auto-9093b3c3","auto-9193b556","auto-9395f713","auto-9295f580","auto-86a993d7"],"stableKey":"auto-50d4ac97","rate":913.231291851345,"scheduledQuantity":2597.95,"scheduledCost":2372529.2346652015,"quantityVariance":2395.5299999999997,"scheduleRows":1},{"code":"KQ-27-13","name":"Монтаж насосов, т","unit":"ед.","quantity":33.300000000000004,"laborHours":3544.2190228383965,"machineHours":392.37929332877485,"cost":163144.15781365774,"materialsCost":0,"materialsRows":6,"sourceRows":6,"sourceKeys":["auto-4bb442c9","auto-4ab44136","auto-55b45287","auto-54b450f4","auto-a4549101","auto-a3548f6e"],"stableKey":"auto-b25aaf7c","rate":4899.223958368099,"scheduledQuantity":47.44,"scheduledCost":232419.18458498263,"quantityVariance":14.139999999999993,"scheduleRows":1},{"code":"KQ-03-25","name":"Демонтаж кабелей и проводов, м","unit":"ед.","quantity":23352,"laborHours":622.6354198184681,"machineHours":1220.7997180414507,"cost":156970.72002974167,"materialsCost":0,"materialsRows":9,"sourceRows":9,"sourceKeys":["auto-d07623c6","auto-cf762233","auto-ce7620a0","auto-d5762ba5","auto-d4762a12","auto-148cac01","auto-138caa6e","auto-168caf27","auto-158cad94"],"stableKey":"auto-6b30e4bf","rate":6.721939021486025,"scheduledQuantity":32024,"scheduledCost":215263.37522406847,"quantityVariance":8672,"scheduleRows":1},{"code":"KQ-64-02","name":"Монтаж стальных трубопроводов внутренних инженерных сетей, м","unit":"ед.","quantity":815.79,"laborHours":4976.549576036042,"machineHours":254.5068443920846,"cost":153771.38699883904,"materialsCost":0,"materialsRows":6,"sourceRows":6,"sourceKey</t>
        </is>
      </c>
    </row>
    <row r="11">
      <c r="A11" t="inlineStr">
        <is>
          <t>s":["auto-58ced946","auto-63ceea97","auto-62cee904","auto-55cc95f6","auto-a21eec8a","auto-a11eeaf7"],"stableKey":"auto-f25745c9","rate":188.49383664771455,"scheduledQuantity":183.48000000000002,"scheduledCost":34584.84914812267,"quantityVariance":-632.31,"scheduleRows":1},{"code":"KQ-69-06","name":"Устройство фальшпола, м2","unit":"ед.","quantity":700,"laborHours":4079.8652356650687,"machineHours":194.67378994122043,"cost":152689.30106327363,"materialsCost":0,"materialsRows":2,"sourceRows":2,"sourceKeys":["auto-a27e91ca","auto-a17e9037"],"stableKey":"auto-4bd4a4b8","rate":218.12757294753376,"scheduledQuantity":301.59999999999997,"scheduledCost":65787.27600097617,"quantityVariance":-398.40000000000003,"scheduleRows":1},{"code":"KQ-35-02","name":"Неразрушающий контроль стыков (все виды, кроме РК), стык","unit":"ед.","quantity":2316.5,"laborHours":2980.810272787914,"machineHours":191.76085212408208,"cost":150869.71597148935,"materialsCost":0,"materialsRows":5,"sourceRows":5,"sourceKeys":["auto-121298b9","auto-11129726","auto-dbc7208c","auto-dec72545","auto-ddc723b2"],"stableKey":"auto-627a8633","rate":65.12830389444824,"scheduledQuantity":42,"scheduledCost":2735.388763566826,"quantityVariance":-2274.5,"scheduleRows":1},{"code":"KQ-19-01","name":"Монтаж трубопроводов подземных сетей (стальные), м","unit":"ед.","quantity":391.3,"laborHours":3840.397816833501,"machineHours":600.061622083891,"cost":148539.94394999195,"materialsCost":0,"materialsRows":7,"sourceRows":7,"sourceKeys":["auto-c154ecb5","auto-ba54e1b0","auto-bb54e343","auto-bc54e4d6","auto-bd54e669","auto-c654f494","auto-c754f627"],"stableKey":"auto-769cbd58","rate":379.6062968310553,"scheduledQuantity":9,"scheduledCost":3416.456671479498,"quantityVariance":-382.3,"scheduleRows":1},{"code":"KQ-71-02","name":"Устройство щебеночных оснований и покрытий, м3","unit":"ед.","quantity":1694.5700000000002,"laborHours":1755.9676635621556,"machineHours":981.0673531072596,"cost":141305.29953486097,"materialsCost":0,"materialsRows":4,"sourceRows":4,"sourceKeys":["auto-0631d790","auto-1531ef2d","auto-b1d3b62a","auto-b2d3b7bd"],"stableKey":"auto-4049dd7b","rate":83.38711268042097,"scheduledQuantity":1174.96,"scheduledCost":97976.52191498743,"quantityVariance":-519.6100000000001,"scheduleRows":1},{"code":"KQ-71-05","name":"Устройство покрытий из сборных ж/б плит, м2","unit":"ед.","quantity":2039.184,"laborHours":3141.6000000000004,"machineHours":399.84000000000003,"cost":133209.9973188033,"materialsCost":0,"materialsRows":1,"sourceRows":1,"sourceKeys":["auto-3e3a99d6"],"stableKey":"auto-4549e55a","rate":65.32514835287218,"scheduledQuantity":0,"scheduledCost":0,"quantityVariance":-2039.184,"scheduleRows":0},{"code":"KQ-69-01","name":"Кладка стен и перегородок, м3","unit":"ед.","quantity":216.4,"laborHours":2568.668,"machineHours":263.5752,"cost":128527.4107153957,"materialsCost":216.4,"materialsRows":1,"sourceRows":1,"sourceKeys":["auto-6db5e2a4"],"stableKey":"auto-52d4afbd","rate":593.9344302929561,"scheduledQuantity":216.54,"scheduledCost":128610.5615356367,"quantityVariance":0.13999999999998636,"scheduleRows":1},{"code":"KQ-03-13","name":"Демонтаж инженерных и технологических трубопроводов, м","unit":"ед.","quantity":1807.9499999999998,"laborHours":1046.1076819959662,"machineHours":860.8764610286862,"cost":127594.55462912061,"materialsCost":0,"materialsRows":5,"sourceRows":5,"sourceKeys":["auto-43c0589e","auto-d0c64b5d","auto-c1c633c0","auto-c2c63553","auto-4fc951e1"],"stableKey":"auto-f938800e","rate":70.57416113781942,"scheduledQuantity":2439.21,"scheduledCost":172145.1995889805,"quantityVariance":631.2600000000002,"scheduleRows":1},{"code":"KQ-27-10","name":"Монтаж градирен, т","unit":"ед.","quantity":52,"laborHours":3518.697156083281,"machineHours":52.28555985444002,"cost":127518.3442454961,"materialsCost":0,"materialsRows":1,"sourceRows":1,"sourceKeys":["auto-92ea2c4e"],"stableKey":"auto-b55ab435","rate":2452.2758508749253,"scheduledQuantity":27.84,"scheduledCost":68271.35968835792,"quantityVariance":-24.16,"scheduleRows":1},{"code":"KQ-28-01","name":"Монтаж грузоподъемного оборудования, шт.","unit":"ед.","quantity":12,"laborHours":2429.9310552875118,"machineHours":297.59688486059684,"cost":125795.1019594951,"materialsCost":0,"materialsRows":1,"sourceRows":1,"sourceKeys":["auto-944c8ed4"],"stableKey":"auto-bb8bb8c0","rate":10482.925163291258,"scheduledQuantity":20,"scheduledCost":209658.50326582516,"quantityVariance":8,"scheduleRows":1},{"code":"KQ-97-19","name":"Дополнительная очистка трубопроводов, м","unit":"ед.","quantity":420,"laborHours":2484.287260548309,"machineHours":49.68311117390228,"cost":115765.77731298344,"materialsCost":0,"materialsRows":1,"sourceRows":1,"sourceKeys":["auto-7ee1ed87"],"stableKey":"auto-baabf2eb","rate":275.63280312615103,"scheduledQuantity":0,"scheduledCost":0,"quantityVariance":-420,"scheduleRows":0},{"code":"KQ-01-01","name":"Демонтаж дорог, площадок и тротуаров, м3","unit":"ед.","quantity":638.9739999999999,"laborHours":3035.964338528466,"machineHours":267.5963653244128,"cost":115142.73573988816,"materialsCost":0,"materialsRows":3,"sourceRows":3,"sourceKeys":["auto-e860ea3f","auto-cb899a5c","auto-cc899bef"],"stableKey":"auto-41f98617","rate":180.1994067675495,"scheduledQuantity":1537.8799999999999,"scheduledCost":277125.063679679,"quantityVariance":898.906,"scheduleRows":1},{"code":"KQ-57-03","name":"Монтаж щитового оборудования РУ, ВРУ, шт.","unit":"ед.","quantity":56,"laborHours":2690.3023658487177,"machineHours":388.78837308663293,"cost":101099.27677741033,"materialsCost":0,"materialsRows":7,"sourceRows":7,"sourceKeys":["auto-659aa5af","auto-629aa0f6","auto-639aa289","auto-609a9dd0","auto-619a9f63","auto-6c9cef4b","auto-a31e8172"],"stableKey":"auto-894d88dc","rate":1805.3442281680416,"scheduledQuantity":60.01,"scheduledCost":108338.70713236417,"quantityVariance":4.009999999999998,"scheduleRows":1},{"code":"KQ-68-03","name":"Устройство вентилируемых фасадов с облицовкой, м2","unit":"ед.","quantity":616,"laborHours":2445.246316389977,"machineHours":121.14246312606387,"cost":92523.1003441091,"materialsCost":0,"materialsRows":1,"sourceRows":1,"sourceKeys":["auto-126c0182"],"stableKey":"auto-6075a4e2","rate":150.19983822095634,"scheduledQuantity":1891,"scheduledCost":284027.89407582843,"quantityVariance":1275,"scheduleRows":1},{"code":"KQ-12-01","name":"Устройство подбетонки, м3","unit":"ед.","quantity":261.27000000000004,"laborHours":2517.493912899533,"machineHours":192.21609016605294,"cost":87182.67313331421,"materialsCost":0,"materialsRows":4,"sourceRows":4,"sourceKeys":["auto-33284e38","auto-303992a0","auto-18198923","auto-9712024b"],"stableKey":"auto-0d54dc43","rate":333.6880358759681,"scheduledQuantity":66.11,"scheduledCost":22060.11605176025,"quantityVariance":-195.16000000000003,"scheduleRows":1},{"code":"KQ-18-02","name":"Монтаж сборных ж/б колодцев, м3","unit":"ед.","quantity":42.98,"laborHours":2077.2890936919007,"machineHours":223.70648857902395,"cost":78913.27901972814,"materialsCost":0,"materialsRows":1,"sourceRows":1,"sourceKeys":["auto-82a78b19"],"stableKey":"auto-47fb9440","rate":1836.046510463661,"scheduledQuantity":3.86,"scheduledCost":7087.139530389732,"quantityVariance":-39.12,"scheduleRows":1},{"code":"KQ-09-02","name":"Шпунтовое ограждение котлованов и траншей, т","unit":"ед.","quantity":71.8,"laborHours":1084.6025356551113,"machineHours":341.6177717633931,"cost":75135.30176957574,"materialsCost":0,"materialsRows":2,"sourceRows":2,"sourceKeys":["auto-5be93906","auto-7504b3e0"],"stableKey":"auto-d97f22f2","rate":1046.4526708854562,"scheduledQuantity":0,"scheduledCost":0,"quantityVariance":-71.8,"scheduleRows":0},{"code":"KQ-27-04","name":"Монтаж теплообменников, холодильников и пароводяных подогревателей, т","unit":"ед.","quantity":30.61,"laborHours":1109.1226473443714,"machineHours":255.13131820026905,"cost":75075.92460749373,"materialsCost":0,"materialsRows":7,"sourceRows":7,"sourceKeys":["auto-c18f6fe3","auto-c08f6e50","auto-c38f7309","auto-c28f7176","auto-c58f762f","auto-6d2c98b0","auto-702c9d69"],"stableKey":"auto-ab5865e0","rate":2452.660065582938,"scheduledQuantity":47.739999999999995,"scheduledCost":117089.99153092944,"quantityVariance":17.129999999999995,"scheduleRows":1},{"code":"KQ-51-01","name":"Монтаж проводника заземления (провод), м","unit":"ед.","quantity":2176,"laborHours":1936.8592980278527,"machineHours":294.3871143549641,"cost":73759.92508119931,"materialsCost":0,"materialsRows":5,"sourceRows":5,"sourceKeys":["auto-de90e8e3","auto-dd90e750","auto-608de3f2","auto-e73dffb3","auto-ec3e0792"],"stableKey":"auto-63a1327c","rate":33.897024393933506,"scheduledQuantity":6927.85,"scheduledCost":234833.50044751226,"quantityVariance":4751.85,"scheduleRows":1},{"code":"KQ-22-01","name":"Монтаж основных металлоконструкций зданий, т","unit":"ед.","quantity":27.119999999999997,"laborHours":1427.8546030536481,"machineHours":353.6940684470103,"cost":72174.89403293362,"materialsCost":0,"materialsRows":1,"sourceRows":1,"sourceKeys":["auto-c27e2ee2"],"stableKey":"auto-0ac61132","rate":2661.316151656845,"scheduledQuantity":1.86,"scheduledCost":4950.048042081731,"quantityVariance":-25.259999999999998,"scheduleRows":1},{"code":"KQ-67-01","name":"Монтаж кровли из профлиста, м2","unit":"ед.","quantity":366.78999999999996,"laborHours":693.3897475141806,"machineHours":227.052423455908,"cost":69799.5518249235,"materialsCost":0,"materialsRows":3,"sourceRows":3,"sourceKeys":["auto-95785226","auto-1f7b69fb","auto-8689ad2d"],"stableKey":"auto-af9f2143","rate":190.2984046046062,"scheduledQuantity":761.56,"scheduledCost":144923.6530106839,"quantityVariance":394.77,"scheduleRows":1},{"code":"KQ-97-14","name":"Конфигурирование и настройка оборудования, шт.","unit":"ед.","quantity":54,"laborHours":1544.5777178428673,"machineHours":5.961973340868274,"cost":69795.72083423608,"materialsCost":0,"materialsRows":11,"sourceRows":11,"sourceKeys":["auto-625b9e8e","auto-635ba021","auto-605b9b68","auto-b7fbe80d","auto-b4fbe354","auto-b5fbe4e7","auto-b2fbe02e","auto-b3fbe1c1","auto-b0fbdd08","auto-b1fbde9b","auto-aefbd9e2"],"stableKey":"auto-b5abeb0c","rate":1292.5133487821497,"scheduledQuantity":0,"scheduledCost":0,"quantityVariance":-54,"scheduleRows":0},{"code":"KQ-45-02","name":"Монтаж стальных кабелепроводов, м","unit":"ед.","quantity":3193.5,"laborHours":2122.7326412396496,"machineHours":103.53748103463398,"cost":68186.66118669258,"materialsCost":0,"materialsRows":6,"sourceRows":6,"sourceKeys":["auto-245cf583","auto-295cfd62","auto-2a5cfef5","auto-275cfa3c","auto-2469c176","auto-2b69cc7b"],"stableKey":"auto-5336fc3a","rate":21.351702266069385,"scheduledQuantity":789.81,"scheduledCost":16863.78796676426,"quantityVariance":-2403.69,"scheduleRows":1},{"code":"KQ-66-03","name":"Монтаж ворот на зданиях, м2","unit":"ед.","quantity":98.49,"laborHours":1739.949969928893,"machineHours":86.20065130472965,"cost":65836.13461858948,"materialsCost":0,"materialsRows":1,"sourceRows":1,"sourceKeys":["auto-112dfdfe"],"stableKey":"auto-5026f474","rate":668.4550169417147,"scheduledQuantity":130.27,"scheduledCost":87079.63505699718,"quantityVariance":31.780000000000015,"scheduleRows":1},{"code":"KQ-12-04","name":"Мощение, м3","unit":"ед.","quantity":152.74,"laborHours":1411.0453201475207,"machineHours":224.94809176636664,"cost":60478.90409708042,"materialsCost":0,"materialsRows":2,"sourceRows":2,"sourceKeys":["auto-81bec0b6","auto-b1940c79"],"stableKey":"auto-1054e0fc","rate":395.95982779285333,"scheduledQuantity":0,"scheduledCost":0,"quantityVariance":-152.74,"scheduleRows":0},{"code":"KQ-66-02","name":"Монтаж дверей, люков и решеток, м2","unit":"ед.","quantity":101.74,"laborHours":1557.3645388469608,"machineHours":77.15499864227945,"cost":58927.47676758556,"materialsCost":0,"materialsRows":3,"sourceRows":3,"sourceKeys":["auto-4bda0a1e","auto-4ada088b","auto-8597e322"],"stableKey":"auto-5126f607","rate":579.1967443246075,"scheduledQuantity":104.62,"scheduledCost":60595.56339124044,"quantityVariance":2.8800000000000097,"scheduleRows":1},{"code":"KQ-46-02","name":"Монтаж металлорукавов, м","unit":"ед.","quantity":3605,"laborHours":1726.3536273324282,"machineHours":82.04214615377224,"cost":55265.1441088312,"materialsCost":0,"materialsRows":7,"sourceRows":7,"sourceKeys":["auto-26e4cf2e","auto-27e4d0c1","auto-24e4cc08","auto-77483701","auto-7648356e","auto-754833db","auto-74483248"],"stableKey":"auto-b263be0d","rate":15.330137062089099,"scheduledQuantity":16632.86,"scheduledCost":254984.0235345393,"quantityVariance":13027.86,"scheduleRows":1},{"code":"KQ-60-03","name":"Монтаж приборов охранно-пожарной сигнализации, оповещения и связи, шт.","unit":"ед.","quantity":491,"laborHours":1450.1063738244966,"machineHours":171.89265490243412,"cost":51959.325030317326,"materialsCost":0,"materialsRows":17,"sourceRows":17,"sourceKeys":["auto-79b76cde","auto-7ab76e71","auto-77b769b8","auto-78b76b4b","auto-75b76692","auto-76b76825","auto-63b988d3","auto-62b98740","auto-65b98bf9","auto-64b98a66","auto-66b98d8c","auto-446bf644","auto-456bf7d7","auto-3a6be686","auto-486e3b27","auto-476e3994","auto-496e3cba"],"stableKey":"auto-731d805a","rate":105.82347256683774,"scheduledQuantity":476,"scheduledCost":50371.97294181476,"quantityVariance":-15,"scheduleRows":1},{"code":"KQ-71-11","name":"Устройство щебеночных оснований, м3","unit":"ед.","quantity":688,"laborHours":426.56,"machineHours":412.8,"cost":50760.83755462355,"materialsCost":0,"materialsRows":1,"sourceRows":1,"sourceKeys":["auto-0c44a8ab"],"stableKey":"auto-bd46d0ab","rate":73.78028714334818,"scheduledQuantity":0,"scheduledCost":0,"quantityVariance":-688,"scheduleRows":0},{"code":"KQ-62-01","name":"Монтаж воздуховодов, м2","unit":"ед.","quantity":398.82,"laborHours":1554.879004250178,"machineHours":123.47181637376858,"cost":50022.45102710006,"materialsCost":0,"materialsRows":9,"sourceRows":9,"sourceKeys":["auto-689aac31","auto-679aaa9e","auto-27601259","auto-266010c6","auto-25600f33","auto-6affce0b","auto-69ffcc78","auto-6cffd131","auto-6bffcf9e"],"stableKey":"auto-40935bde","rate":125.42613466501194,"scheduledQuantity":761.36,"scheduledCost":95494.4418885535,"quantityVariance":362.54,"scheduleRows":1},{"code":"KQ-63-07","name":"Монтаж устройств пожаротушения, шт.","unit":"ед.","quantity":431,"laborHours":1291.405665397549,"machineHours":109.3880255112884,"cost":48448.63442975661,"materialsCost":0,"materialsRows":3,"sourceRows":3,"sourceKeys":["auto-9d82d02a","auto-9e82d1bd","auto-41b79c32"],"stableKey":"auto-11f0bb61","rate":112.40982466300838,"scheduledQuantity":104,"scheduledCost":11690.621764952872,"quantityVariance":-327,"scheduleRows":1},{"code":"KQ-49-02","name":"Монтаж силового кабеля от 1 до 35 кВ, м","unit":"ед.","quantity":1936.0000000000002,"laborHours":1325.9889610254995,"machineHours":161.25266722807106,"cost":47786.03962878477,"materialsCost":0,"materialsRows":3,"sourceRows":3,"sourceKeys":["auto-502fec2e","auto-512fedc1","auto-f05ad4c6"],"stableKey":"auto-fb50333e","rate":24.682871709083038,"scheduledQuantity":1543.6799999999998,"scheduledCost":38102.4553998773,"quantityVariance":-392.3200000000004,"scheduleRows":1},{"code":"KQ-27-14","name":"Монтаж механических фильтров и циклонов, т","unit":"ед.","quantity":17.457,"laborHours":395.9873268861453,"machineHours":281.78056308878143,"cost":47446.58557356875,"materialsCost":0,"materialsRows":6,"sourceRows":6,"sourceKeys":["auto-1947b6d6","auto-1a47b869","auto-1747b3b0","auto-1847b543","auto-e2cc6efd","auto-cfdf7f51"],"stableKey":"auto-b15aade9","rate":2717.9117588112936,"scheduledQuantity":12.15,"scheduledCost":33022.62786955722,"quantityVariance":-5.307,"scheduleRows":1},{"code":"KQ-68-02","name":"Утепление фасадов, м3","unit":"ед.","quantity":93,"laborHours":1238.9465121869082,"machineHours":61.379923634585424,"cost":46879.19237407881,"materialsCost":0,"materialsRows":1,"sourceRows":1,"sourceKeys":["auto-dacfddb2"],"stableKey":"auto-6175a675","rate":504.07733735568615,"scheduledQuantity":1.8,"scheduledCost":907.339207240235,"quantityVariance":-91.2,"scheduleRows":1},{"code":"KQ-03-10","name":"Демонтаж инженерного и технологического оборудования, т","unit":"ед.","quantity":6.2700000000000005,"laborHours":954.4588681319823,"machineHours":162.64522506795288,"cost":45179.748079942874,"materialsCost":0,"materialsRows":3,"sourceRows":3,"sourceKeys":["auto-b5600395","auto-b4624099","auto-b3623f06"],"stableKey":"auto-f8387e7b","rate":7205.701448156758,"scheduledQuantity":34.91,"scheduledCost":251551.03755515238,"quantityVariance":28.639999999999997,"scheduleRows":1},{"code":"KQ-03-08","name":"Демонтаж черновой отделки, м2","unit":"ед.","quantity":700,"laborHours":1490.5723563289848,"machineHours":16.561037057967425,"cost":43398.70270085046,"materialsCost":0,"materialsRows":1,"sourceRows":1,"sourceKeys":["auto-fac9b269"],"stableKey":"auto-7a35798a","rate":61.99814671550065,"scheduledQuantity":504.45,"scheduledCost":31274.965110634304,"quantityVariance":-195.55,"scheduleRows":1},{"code":"KQ-11-07","name":"Испытание свай, шт.","unit":"ед.","quantity":36,"laborHours":6.892022026578843,"machineHours":860.9761981590342,"cost":42386.09969236437,"materialsCost":0,"materialsRows":7,"sourceRows":7,"sourceKeys":["auto-f43ea422","auto-ef3e9c43","auto-ee3e9ab0","auto-f13e9f69","auto-0e5a208f","auto-0b5a1bd6","auto-0c5a1d69"],"stableKey":"auto-530d0582","rate":1177.3916581212325,"scheduledQuantity":0,"scheduledCost":0,"quantityVariance":-36,"scheduleRows":0},{"code":"KQ-25-02","name":"Монтаж кровельных сэндвич панелей, м2","unit":"ед.","quantity":148,"laborHours":317.0551980091111,"machineHours":144.24678702912718,"cost":41055.119652904585,"materialsCost":0,"materialsRows":1,"sourceRows":1,"sourceKeys":["auto-6fe3e2bd"],"stableKey":"auto-e25d1974","rate":277.3994571142202,"scheduledQuantity":386.90999999999997,"scheduledCost":107328.62395206292,"quantityVariance":238.90999999999997,"scheduleRows":1},{"code":"KQ-11-01","name":"Погружение забивных свай (ж/б), м","unit":"ед.","quantity":329.4,"laborHours":871.8068528072539,"machineHours":334.95461073690205,"cost":40690.40982301068,"materialsCost":0,"materialsRows":2,"sourceRows":2,"sourceKeys":["auto-c606bfa4","auto-c906c45d"],"stableKey":"auto-4d0cfc10","rate":123.52887013664446,"scheduledQuantity":0,"scheduledCost":0,"quantityVariance":-329.4,"scheduleRows":0},{"code":"KQ-51-02","name":"Монтаж проводника заземления (полоса), м","unit":"ед.","quantity":3338,"laborHours":1198.3763443740584,"machineHours":104.9812075497639,"cost":40445.23037862451,"materialsCost":0,"materialsRows":6,"sourceRows":6,"sourceKeys":["auto-f27473c7","auto-f374755a","auto-f47476ed","auto-043482bb","auto-0534844e","auto-063485e1"],"stableKey":"auto-66a13735","rate":12.116605865375828,"scheduledQuantity":3357.6,"scheduledCost":40682.715853585876,"quantityVariance":19.59999999999991,"scheduleRows":1},{"code":"KQ-20-02","name":"Устройство открытого подземного перехода (футляра), м","unit":"ед.","quantity":58,"laborHours":1134.2072637729984,"machineHours":132.51341350513087,"cost":39630.385148299334,"materialsCost":0,"materialsRows":2,"sourceRows":2,"sourceKeys":["auto-6a3a020d","auto-6739fd54"],"stableKey":"auto-681c4841","rate":683.2825025568851,"scheduledQuantity":5.1,"scheduledCost":3484.740763040114,"quantityVariance":-52.9,"scheduleRows":1},{"code":"KQ-71-01","name":"Укладка геоматериалов, м2","unit":"ед.","quantity":4098.2,"laborHours":724.449694262379,"machineHours":249.8019118344905,"cost":39564.90928606754,"materialsCost":0,"materialsRows":3,"sourceRows":3,"sourceKeys":["auto-c9a5ac91","auto-a784d3f1","auto-e1bf62c4"],"stableKey":"auto-4149df0e","rate":9.654216311079875,"scheduledQuantity":5498.860000000001,"scheduledCost":53087.18390434468,"quantityVariance":1400.6600000000008,"scheduleRows":1},{"code":"KQ-62-05","name":"Тепловая изоляция воздуховодов, м2","unit":"ед.","quantity":378,"laborHours":1562.3594168357486,"machineHours":33.39558039446361,"cost":38793.28581337868,"materialsCost":0,"materialsRows":3,"sourceRows":3,"sourceKeys":["auto-9897e369","auto-9797e1d6","auto-a297f327"],"stableKey":"auto-4493622a","rate":102.62774024703354,"scheduledQuantity":339.19,"scheduledCost":34810.30321439131,"quantityVariance":-38.81,"scheduleRows":1},{"code":"KQ-67-04","name":"Устройство покрытий кровли из ПВХ мембраны или наплавляемых материалов, м2","unit":"ед.","quantity":855.45,"laborHours":948.6724663607251,"machineHours":46.99915853241498,"cost":35895.8184336912,"materialsCost":0,"materialsRows":3,"sourceRows":3,"sourceKeys":["auto-6393f4b8","auto-6493f64b","auto-6593f7de"],"stableKey":"auto-b29f25fc","rate":41.96132846302087,"scheduledQuantity":6098.22,"scheduledCost":255889.41245976315,"quantityVariance":5242.77,"scheduleRows":1},{"code":"KQ-12-03","name":"Утепление строительных конструкций ниже 0, м3","unit":"ед.","quantity":74.1,"laborHours":1139.0102191433916,"machineHours":59.83566432103322,"cost":35741.18806736075,"materialsCost":0,"materialsRows":2,"sourceRows":2,"sourceKeys":["auto-38082623","auto-5c04bb68"],"stableKey":"auto-0f54df69","rate":482.33722088206144,"scheduledQuantity":22.919999999999998,"scheduledCost":11055.169102616848,"quantityVariance":-51.17999999999999,"scheduleRows":1},{"code":"KQ-50-01","name":"Монтаж греющего кабеля, м","unit":"ед.","quantity":3375.54,"laborHours":1023.3355439672033,"machineHours":105.7026416474105,"cost":35617.84071969462,"materialsCost":0,"materialsRows":2,"sourceRows":2,"sourceKeys":["auto-f7b0fcab","auto-bbb71208"],"stableKey":"auto-5800407d","rate":10.551746007955652,"scheduledQuantity":1113,"scheduledCost":11744.09330685464,"quantityVariance":-2262.54,"scheduleRows":1},{"code":"KQ-61-02","name":"Монтаж основного оборудования кондиционирования, шт.","unit":"ед.","quantity":6,"laborHours":803.8108769522502,"machineHours":136.21592872573154,"cost":31216.894210433944,"materialsCost":0,"materialsRows":5,"sourceRows":5,"sourceKeys":["auto-ae2943df","auto-af294572","auto-a9293c00","auto-f1db9680","auto-00dbae1d"],"stableKey":"auto-887fcf7c","rate":5202.81570173899,"scheduledQuantity":7,"scheduledCost":36419.70991217293,"quantityVariance":1,"scheduleRows":1},{"code":"KQ-59-02","name":"Монтаж оконечных и распределительных устройств слаботочных сетей, шт.","unit":"ед.","quantity":485,"laborHours":894.0364595486095,"machineHours":87.53430580720577,"cost":30793.69506767687,"materialsCost":0,"materialsRows":9,"sourceRows":9,"sourceKeys":["auto-75302048","auto-763021db","auto-7730236e","auto-f4967860","auto-fe98c6b5","auto-1eb4a60f","auto-1db4a47c","auto-20b4a935","auto-b230e3f2"],"stableKey":"auto-794912ad","rate":63.49215477871519,"scheduledQuantity":268,"scheduledCost":17015.897480695672,"quantityVariance":-217,"scheduleRows":1},{"code":"KQ-48-05","name":"Расключение оптического кабеля, шт. (конец кабеля)","unit":"ед.","quantity":22.833333333333332,"laborHours":975.7275548744321,"machineHours":29.791689158651344,"cost":29184.259049806595,"materialsCost":0,"materialsRows":5,"sourceRows":5,"sourceKeys":["auto-7472cc91","auto-7372cafe","auto-bf3ba72f","auto-be3ba59c","auto-4138a23e"],"stableKey":"auto-3284a216","rate":1278.1427321083181,"scheduledQuantity":96.52,"scheduledCost":123366.33650309486,"quantityVariance":73.68666666666667,"scheduleRows":1},{"code":"KQ-60-02","name":"Монтаж импульсных трубок, м","unit":"ед.","quantity":1757,"laborHours":573.440883069007,"machineHours":182.3828300642238,"cost":28244.7656123119,"materialsCost":0,"materialsRows":2,"sourceRows":2,"sourceKeys":["auto-f51d88ee","auto-a1a2136e"],"stableKey":"auto-741d81ed","rate":16.07556380894246,"scheduledQuantity":1697,"scheduledCost":27280.23178377535,"quantityVariance":-60,"scheduleRows":1},{"code":"KQ-60-07","name":"Монтаж мультимедийного оборудования и оргтехники, шт.","unit":"ед.","quantity":28,"laborHours":916.7181874803643,"machineHours":26.483127188615526,"cost":27317.891097582695,"materialsCost":0,"materialsRows":3,"sourceRows":3,"sourceKeys":["auto-17ff2847","auto-548bc2b3","auto-eacd10f9"],"stableKey":"auto-6f1d7a0e","rate":975.6389677708105,"scheduledQuantity":13,"scheduledCost":12683.306581020537,"quantityVariance":-15,"scheduleRows":1},{"code":"KQ-27-11","name":"Монтаж газодувок, вентиляторов и дымососов, т","unit":"ед.","quantity":10,"laborHours":556.7030275738507,"machineHours":51.57580112338428,"cost":26362.18762509642,"materialsCost":0,"materialsRows":1,"sourceRows":1,"sourceKeys":["auto-335c460c"],"stableKey":"auto-b45ab2a2","rate":2636.218762509642,"scheduledQuantity":0,"scheduledCost":0,"quantityVariance":-10,"scheduleRows":0},{"code":"KQ-50-02","name":"Расключение греющего кабеля, шт. (конец кабеля)","unit":"ед.","quantity":546,"laborHours":722.2323474255745,"machineHours":46.408373108652455,"cost":23240.90577024851,"materialsCost":0,"materialsRows":4,"sourceRows":4,"sourceKeys":["auto-704e89a3","auto-6f4e8810","auto-77959e48","auto-76959cb5"],"stableKey":"auto-55003bc4","rate":42.565761483971635,"scheduledQuantity":146,"scheduledCost":6214.6011766598585,"quantityVariance":-400,"scheduleRows":1},{"code":"KQ-55-01","name":"Монтаж ИБП, шт.","unit":"ед.","quantity":5,"laborHours":525.6042046960065,"machineHours":105.11526806935612,"cost":21713.538631807794,"materialsCost":0,"materialsRows":4,"sourceRows":4,"sourceKeys":["auto-5d9e88ee","auto-5e9e8a81","auto-6b01eef9","auto-6a01ed66"],"stableKey":"auto-1e129318","rate":4342.707726361559,"scheduledQuantity":6,"scheduledCost":26056.246358169356,"quantityVariance":1,"scheduleRows":1},{"code":"KQ-27-19","name":"Монтаж ВКУ технологического оборудования, т","unit":"ед.","quantity":1.4,"laborHours":526.702023066382,"machineHours":36.434281527528334,"cost":20905.46268238424,"materialsCost":0,"materialsRows":1,"sourceRows":1,"sourceKeys":["auto-037ec6c1"],"stableKey":"auto-bc5abf3a","rate":14932.473344560172,"scheduledQuantity":3.42,"scheduledCost":51069.05883839579,"quantityVariance":2.02,"scheduleRows":1},{"code":"KQ-68-05","name":"Облицовка фасадов плиткой, м2","unit":"ед.","quantity":86,"laborHours":559.1833735344535,"machineHours":26.383884501611572,"cost":20860.12531019461,"materialsCost":0,"materialsRows":1,"sourceRows":1,"sourceKeys":["auto-a232528b"],"stableKey":"auto-5a759b70","rate":242.55959663016986,"scheduledQuantity":42.84,"scheduledCost":10391.253119636478,"quantityVariance":-43.16,"scheduleRows":1},{"code":"KQ-69-04","name":"Устройство потолков, м2","unit":"ед.","quantity":0,"laborHours":470.36423983562486,"machineHours":23.302798658022283,"cost":17797.61714347123,"materialsCost":0,"materialsRows":1,"sourceRows":1,"sourceKeys":["auto-21ecc123"],"stableKey":"auto-4dd4a7de","rate":0,"scheduledQuantity":979.44,"scheduledCost":0,"quantityVariance":979.44,"scheduleRows":1},{"code":"KQ-64-05","name":"Монтаж запорно-регулирующей и распределительной арматуры внутр. инженерных сетей, шт.","unit":"ед.","quantity":42,"laborHours":529.1859693022277,"machineHours":41.40677883486606,"cost":17145.12727219206,"materialsCost":0,"materialsRows":9,"sourceRows":9,"sourceKeys":["auto-01512f92","auto-00512dff","auto-f94ee463","auto-6bb58ba7","auto-6db58ecd","auto-3df0e03f","auto-3feea4ce","auto-42584782","auto-3d583fa3"],"stableKey":"auto-f357475c","rate":408.21731600457287,"scheduledQuantity":124,"scheduledCost":50618.947184567034,"quantityVariance":82,"scheduleRows":1},{"code":"KQ-60-04","name":"Монтаж оборудования оповещения и связи, шт.","unit":"ед.","quantity":83,"laborHours":436.2995821605115,"machineHours":71.07791996812296,"cost":16935.783344012285,"materialsCost":0,"materialsRows":6,"sourceRows":6,"sourceKeys":["auto-4ada15b7","auto-47da10fe","auto-48da1291","auto-ec4d45c5","auto-e94d410c","auto-ea4d429f"],"stableKey":"auto-6e1d787b","rate":204.04558245797935,"scheduledQuantity":35,"scheduledCost":7141.5953860292775,"quantityVariance":-48,"scheduleRows":1},{"code":"KQ-61-01","name":"Монтаж основного вентиляционного оборудования, шт.","unit":"ед.","quantity":10,"laborHours":466.55059723436244,"machineHours":42.52442739150821,"cost":15414.807402512588,"materialsCost":0,"materialsRows":6,"sourceRows":6,"sourceKeys":["auto-0943e2e1","auto-0843e14e","auto-8f63767e","auto-8e6374eb","auto-94637e5d","auto-cf50b729"],"stableKey":"auto-8b7fd435","rate":1541.4807402512588,"scheduledQuantity":11,"scheduledCost":16956.288142763846,"quantityVariance":1,"scheduleRows":1},{"code":"KQ-58-02","name":"Монтаж щитового оборудования телекоммуникационных сетей, шт.","unit":"ед.","quantity":2,"laborHours":451.6040683845305,"machineHours":40.537336197208404,"cost":15307.282996383792,"materialsCost":0,"materialsRows":8,"sourceRows":8,"sourceKeys":["auto-2c869a28","auto-bd0511e9","auto-ba050d30","auto-bb050ec3","auto-f7509062","auto-f6508ecf","auto-f3508a16","auto-f4508ba9"],"stableKey":"auto-8dab603c","rate":7653.641498191896,"scheduledQuantity":0,"scheduledCost":0,"quantityVariance":-2,"scheduleRows":0},{"code":"KQ-57-02","name":"Монтаж силовых шкафов электрообогрева, шт.","unit":"ед.","quantity":7,"laborHours":360.1979929008329,"machineHours":72.46773900403133,"cost":14909.410116664665,"materialsCost":0,"materialsRows":3,"sourceRows":3,"sourceKeys":["auto-28447761","auto-254472a8","auto-8f54f92a"],"stableKey":"auto-8a4d8a6f","rate":2129.915730952095,"scheduledQuantity":5.83,"scheduledCost":12417.408711450715,"quantityVariance":-1.17,"scheduleRows":1},{"code":"KQ-63-06","name":"Монтаж противопожарного оборудования, шт.","unit":"ед.","quantity":0,"laborHours":403.1632460888078,"machineHours":31.51476293252287,"cost":14836.397624783685,"materialsCost":0,"materialsRows":3,"sourceRows":3,"sourceKeys":["auto-2c70fd72","auto-61d84a89","auto-60d848f6"],"stableKey":"auto-10f0b9ce","rate":0,"scheduledQuantity":3,"scheduledCost":0,"quantityVariance":3,"scheduleRows":1},{"code":"KQ-05-01","name":"Расчистка и планировка площадки строительства, м2","unit":"ед.","quantity":1525,"laborHours":360.813149746302,"machineHours":17.168206596628796,"cost":12010.39658671297,"materialsCost":0,"materialsRows":1,"sourceRows":1,"sourceKeys":["auto-7e98811b"],"stableKey":"auto-dc6ab453","rate":7.875669892926537,"scheduledQuantity":3446,"sche</t>
        </is>
      </c>
    </row>
    <row r="12">
      <c r="A12" t="inlineStr">
        <is>
          <t>duledCost":27139.55845102485,"quantityVariance":1921,"scheduleRows":1},{"code":"KQ-67-02","name":"Утепление кровли, м3","unit":"ед.","quantity":41.04,"laborHours":313.5761598904166,"machineHours":15.53519910534819,"cost":11865.078095647485,"materialsCost":0,"materialsRows":1,"sourceRows":1,"sourceKeys":["auto-00bea9a3"],"stableKey":"auto-b09f22d6","rate":289.11009004989,"scheduledQuantity":908.21,"scheduledCost":262572.67488421063,"quantityVariance":867.1700000000001,"scheduleRows":1},{"code":"KQ-67-03","name":"Устройство стяжки или цементно-стружечных плит на кровле, м2","unit":"ед.","quantity":119,"laborHours":309.87407563544235,"machineHours":15.490436673383229,"cost":11756.342106466458,"materialsCost":0,"materialsRows":2,"sourceRows":2,"sourceKeys":["auto-b61159fe","auto-b7115b91"],"stableKey":"auto-b19f2469","rate":98.7927908106425,"scheduledQuantity":2619.09,"scheduledCost":258747.21048424568,"quantityVariance":2500.09,"scheduleRows":1},{"code":"KQ-57-01","name":"Монтаж малых силовых шкафов, шт.","unit":"ед.","quantity":60,"laborHours":315.3714383934421,"machineHours":20.278786555263288,"cost":10149.363725990594,"materialsCost":0,"materialsRows":2,"sourceRows":2,"sourceKeys":["auto-dc820892","auto-9d06b28e"],"stableKey":"auto-8b4d8c02","rate":169.15606209984324,"scheduledQuantity":83,"scheduledCost":14039.953154286988,"quantityVariance":23,"scheduleRows":1},{"code":"KQ-71-04","name":"Устройство асфальтобетонных покрытий, м2","unit":"ед.","quantity":283.4,"laborHours":114.34146923466797,"machineHours":70.9552093838889,"cost":9867.377462590137,"materialsCost":0,"materialsRows":1,"sourceRows":1,"sourceKeys":["auto-82269fb3"],"stableKey":"auto-4649e6ed","rate":34.817845668984255,"scheduledQuantity":0,"scheduledCost":0,"quantityVariance":-283.4,"scheduleRows":0},{"code":"KQ-62-02","name":"Монтаж вентиляционных клапанов и заслонок, шт.","unit":"ед.","quantity":81,"laborHours":259.8434831996613,"machineHours":30.42047854208993,"cost":9083.794926716497,"materialsCost":0,"materialsRows":14,"sourceRows":14,"sourceKeys":["auto-57b9bf5f","auto-5cb9c73e","auto-5db9c8d1","auto-dabccc2f","auto-d9bcca9c","auto-dcbccf55","auto-dbbccdc2","auto-d6bcc5e3","auto-d5bcc450","auto-d8bcc909","auto-d7bcc776","auto-347d162a","auto-337d1497","auto-327d1304"],"stableKey":"auto-3f935a4b","rate":112.14561637921601,"scheduledQuantity":90,"scheduledCost":10093.105474129441,"quantityVariance":9,"scheduleRows":1},{"code":"KQ-56-02","name":"Монтаж осветительных приборов внутреннего исполнения (штучные), шт.","unit":"ед.","quantity":445,"laborHours":266.136223408941,"machineHours":14.1825959220038,"cost":8367.707830242034,"materialsCost":0,"materialsRows":5,"sourceRows":5,"sourceKeys":["auto-32e97e58","auto-35e98311","auto-34e9817e","auto-b8315957","auto-b73157c4"],"stableKey":"auto-c23587de","rate":18.803837820768617,"scheduledQuantity":238,"scheduledCost":4475.313401342931,"quantityVariance":-207,"scheduleRows":1},{"code":"KQ-67-07","name":"Устройство кровельной водосточной системы, м","unit":"ед.","quantity":134,"laborHours":202.3111723154663,"machineHours":10.022905900293948,"cost":7655.039400903016,"materialsCost":0,"materialsRows":4,"sourceRows":4,"sourceKeys":["auto-2d6dce7d","auto-2a70085b","auto-297006c8","auto-2c700b81"],"stableKey":"auto-b59f2ab5","rate":57.12715970823146,"scheduledQuantity":424,"scheduledCost":24221.91571629014,"quantityVariance":290,"scheduleRows":1},{"code":"KQ-64-01","name":"Монтаж пластиковых трубопроводов внутренних инженерных сетей, м","unit":"ед.","quantity":63,"laborHours":257.5709031736487,"machineHours":8.578777859111213,"cost":7618.754139200827,"materialsCost":0,"materialsRows":1,"sourceRows":1,"sourceKeys":["auto-f9b5820b"],"stableKey":"auto-ef574110","rate":120.93260538414012,"scheduledQuantity":121.09,"scheduledCost":14643.729185965527,"quantityVariance":58.09,"scheduleRows":1},{"code":"KQ-33-08","name":"Резьбовые соединения технологических трубопроводов, DI","unit":"ед.","quantity":96,"laborHours":175.70745137214976,"machineHours":7.081866194215442,"cost":7274.787708603866,"materialsCost":0,"materialsRows":2,"sourceRows":2,"sourceKeys":["auto-69dc0905","auto-458e6e97"],"stableKey":"auto-d5598db3","rate":75.77903863129028,"scheduledQuantity":156,"scheduledCost":11821.530026481283,"quantityVariance":60,"scheduleRows":1},{"code":"KQ-19-05","name":"Монтаж запорно-регулирующей арматуры наружн. инженерных сетей, шт.","unit":"ед.","quantity":5,"laborHours":244.17368366420754,"machineHours":5.732653306607042,"cost":7044.857455211009,"materialsCost":0,"materialsRows":2,"sourceRows":2,"sourceKeys":["auto-aa9f77ce","auto-ea50e7cc"],"stableKey":"auto-7a9cc3a4","rate":1408.971491042202,"scheduledQuantity":1,"scheduledCost":1408.971491042202,"quantityVariance":-4,"scheduleRows":1},{"code":"KQ-60-05","name":"Монтаж оборудования видеонаблюдения, шт.","unit":"ед.","quantity":51,"laborHours":195.17065995295903,"machineHours":21.912617976035044,"cost":6910.982956794656,"materialsCost":0,"materialsRows":4,"sourceRows":4,"sourceKeys":["auto-98bc5192","auto-99bc5325","auto-562fadb4","auto-572faf47"],"stableKey":"auto-6d1d76e8","rate":135.50946974107168,"scheduledQuantity":24,"scheduledCost":3252.22727378572,"quantityVariance":-27,"scheduleRows":1},{"code":"KQ-62-03","name":"Монтаж оконечных устройств воздухораспределения, шт.","unit":"ед.","quantity":48,"laborHours":221.71737056779017,"machineHours":9.743960095021508,"cost":6551.03300076511,"materialsCost":0,"materialsRows":3,"sourceRows":3,"sourceKeys":["auto-7ca60806","auto-1bffc68b","auto-12ffb860"],"stableKey":"auto-3e9358b8","rate":136.47985418260646,"scheduledQuantity":73,"scheduledCost":9963.02935533027,"quantityVariance":25,"scheduleRows":1},{"code":"KQ-27-03","name":"Монтаж динамического колонного и емкостного оборудования, т","unit":"ед.","quantity":10.9,"laborHours":135.3986020739042,"machineHours":12.353517944313062,"cost":6383.485648602716,"materialsCost":0,"materialsRows":1,"sourceRows":1,"sourceKeys":["auto-52173cf1"],"stableKey":"auto-b25870e5","rate":585.6408851929096,"scheduledQuantity":2.21,"scheduledCost":1294.2663562763303,"quantityVariance":-8.690000000000001,"scheduleRows":1},{"code":"KQ-43-01","name":"Изоляция запорной арматуры термочехлами, шт.","unit":"ед.","quantity":62,"laborHours":227.64056515674272,"machineHours":9.047158810809002,"cost":5961.75970163497,"materialsCost":0,"materialsRows":4,"sourceRows":4,"sourceKeys":["auto-d2741cb9","auto-d1741b26","auto-d0741993","auto-cf741800"],"stableKey":"auto-955630b1","rate":96.15741454249952,"scheduledQuantity":44,"scheduledCost":4230.926239869979,"quantityVariance":-18,"scheduleRows":1},{"code":"KQ-38-05","name":"Опознавательная окраска трубопроводов и оборудования, м2","unit":"ед.","quantity":38.559999999999995,"laborHours":159.65686127790462,"machineHours":22.609806506367622,"cost":5502.2112137951635,"materialsCost":0,"materialsRows":1,"sourceRows":1,"sourceKeys":["auto-13f0f208"],"stableKey":"auto-75d4896f","rate":142.69219952788288,"scheduledQuantity":124.92999999999999,"scheduledCost":17826.536487018406,"quantityVariance":86.37,"scheduleRows":1},{"code":"KQ-49-05","name":"Расключение силового кабеля от 1 до 35 кВ, шт. (конец кабеля)","unit":"ед.","quantity":13.200000000000001,"laborHours":139.95768608792545,"machineHours":7.236838672999241,"cost":4385.5618225564795,"materialsCost":0,"materialsRows":3,"sourceRows":3,"sourceKeys":["auto-8654cf8b","auto-8554cdf8","auto-d3f50c72"],"stableKey":"auto-fe5037f7","rate":332.23953201185446,"scheduledQuantity":16,"scheduledCost":5315.832512189671,"quantityVariance":2.799999999999999,"scheduleRows":1},{"code":"KQ-20-03","name":"Протаскивание труб в футляр, м","unit":"ед.","quantity":30,"laborHours":98.66476038205155,"machineHours":16.338042693981894,"cost":3803.488239394783,"materialsCost":0,"materialsRows":2,"sourceRows":2,"sourceKeys":["auto-961d088d","auto-871cf0f0"],"stableKey":"auto-671c46ae","rate":126.78294131315943,"scheduledQuantity":5.1,"scheduledCost":646.593000697113,"quantityVariance":-24.9,"scheduleRows":1},{"code":"KQ-67-08","name":"Устройство перильного ограждения кровли, м","unit":"ед.","quantity":49.02,"laborHours":74.39167145882281,"machineHours":3.685514320656047,"cost":2814.8281165033122,"materialsCost":0,"materialsRows":1,"sourceRows":1,"sourceKeys":["auto-3b0f076c"],"stableKey":"auto-b69f2c48","rate":57.42203420039396,"scheduledQuantity":49.02,"scheduledCost":2814.8281165033122,"quantityVariance":0,"scheduleRows":1},{"code":"KQ-46-01","name":"Монтаж пластиковых коробов, м","unit":"ед.","quantity":30,"laborHours":94.75781408091406,"machineHours":1.5120522566728867,"cost":2771.8229814168776,"materialsCost":0,"materialsRows":1,"sourceRows":1,"sourceKeys":["auto-e78d183b"],"stableKey":"auto-af63b954","rate":92.3940993805626,"scheduledQuantity":1,"scheduledCost":92.3940993805626,"quantityVariance":-29,"scheduleRows":1},{"code":"KQ-46-03","name":"Монтаж полимерных труб и гофр, м","unit":"ед.","quantity":55,"laborHours":86.13520789773096,"machineHours":3.4452256612430796,"cost":2700.7193107233275,"materialsCost":0,"materialsRows":1,"sourceRows":1,"sourceKeys":["auto-04a77204"],"stableKey":"auto-b163bc7a","rate":49.10398746769686,"scheduledQuantity":162,"scheduledCost":7954.845969766891,"quantityVariance":107,"scheduleRows":1},{"code":"KQ-03-26","name":"Демонтаж электроустановочных изделий и компонентов КИПиА и слаботочных систем, шт.","unit":"ед.","quantity":22,"laborHours":59.26326409734669,"machineHours":6.4218378520314765,"cost":2384.6873926765634,"materialsCost":0,"materialsRows":2,"sourceRows":2,"sourceKeys":["auto-13428eed","auto-63c0c585"],"stableKey":"auto-6c30e652","rate":108.39488148529834,"scheduledQuantity":36,"scheduledCost":3902.2157334707404,"quantityVariance":14,"scheduleRows":1},{"code":"KQ-63-01","name":"Монтаж блочных тепловых пунктов, компл.","unit":"ед.","quantity":1,"laborHours":68.59835440290358,"machineHours":6.806870134317033,"cost":2307.515191254119,"materialsCost":0,"materialsRows":1,"sourceRows":1,"sourceKeys":["auto-b9f5eb76"],"stableKey":"auto-13f0be87","rate":2307.515191254119,"scheduledQuantity":1,"scheduledCost":2307.515191254119,"quantityVariance":0,"scheduleRows":1},{"code":"KQ-48-03","name":"Монтаж и подключение патч-кордов, м","unit":"ед.","quantity":167.5,"laborHours":77.40751061867773,"machineHours":1.096599940387537,"cost":2230.041335019672,"materialsCost":0,"materialsRows":3,"sourceRows":3,"sourceKeys":["auto-7ceaf8b2","auto-a75dca99","auto-a85dcc2c"],"stableKey":"auto-3484a53c","rate":13.313679612057742,"scheduledQuantity":186,"scheduledCost":2476.34440784274,"quantityVariance":18.5,"scheduleRows":1},{"code":"KQ-39-02","name":"Гидроизоляция подземных трубопроводов, м2","unit":"ед.","quantity":26.770000000000003,"laborHours":74.18529878099297,"machineHours":0.47500603075905845,"cost":1978.3861784948817,"materialsCost":0,"materialsRows":2,"sourceRows":2,"sourceKeys":["auto-8bc28019","auto-88c27b60"],"stableKey":"auto-9498c2e7","rate":73.90310715333887,"scheduledQuantity":0,"scheduledCost":0,"quantityVariance":-26.770000000000003,"scheduleRows":0},{"code":"KQ-65-02","name":"Монтаж радиаторов, конвекторов и регистров, шт.","unit":"ед.","quantity":10,"laborHours":47.703973732066686,"machineHours":2.3633516345851673,"cost":1429.249787306926,"materialsCost":0,"materialsRows":2,"sourceRows":2,"sourceKeys":["auto-99ce82fc","auto-98ce8169"],"stableKey":"auto-60b580d8","rate":142.9249787306926,"scheduledQuantity":9,"scheduledCost":1286.3248085762334,"quantityVariance":-1,"scheduleRows":1},{"code":"KQ-03-12","name":"Демонтаж оборудования пожаротушения, шт.","unit":"ед.","quantity":20,"laborHours":22.33492546626289,"machineHours":6.179632685058702,"cost":1328.7274597863707,"materialsCost":0,"materialsRows":2,"sourceRows":2,"sourceKeys":["auto-968f4f05","auto-b496a20c"],"stableKey":"auto-fa3881a1","rate":66.43637298931853,"scheduledQuantity":0,"scheduledCost":0,"quantityVariance":-20,"scheduleRows":0},{"code":"KQ-68-07","name":"Устройство декоративных фасадных конструкций, м2","unit":"ед.","quantity":4,"laborHours":18.72753972817561,"machineHours":1.6121175913707813,"cost":863.3128041995774,"materialsCost":0,"materialsRows":1,"sourceRows":1,"sourceKeys":["auto-1fb5e4b9"],"stableKey":"auto-5c759e96","rate":215.82820104989435,"scheduledQuantity":4,"scheduledCost":863.3128041995774,"quantityVariance":0,"scheduleRows":1},{"code":"KQ-03-01","name":"Демонтаж элементов металлоконструкций, т","unit":"ед.","quantity":0.32,"laborHours":6.8159378477976835,"machineHours":5.278436968748986,"cost":793.528911007237,"materialsCost":0,"materialsRows":2,"sourceRows":2,"sourceKeys":["auto-2b0c4c72","auto-0a5c1232"],"stableKey":"auto-73356e85","rate":2479.7778468976153,"scheduledQuantity":20.75,"scheduledCost":51455.39032312552,"quantityVariance":20.43,"scheduleRows":1},{"code":"KQ-71-10","name":"Устройство элементов обеспечения БДД, шт.","unit":"ед.","quantity":5,"laborHours":20.89266111599312,"machineHours":2.0701296322459286,"cost":665.3179722285599,"materialsCost":0,"materialsRows":1,"sourceRows":1,"sourceKeys":["auto-5945cb9a"],"stableKey":"auto-bc46cf18","rate":133.063594445712,"scheduledQuantity":3,"scheduledCost":399.190783337136,"quantityVariance":-2,"scheduleRows":1},{"code":"KQ-03-18","name":"Демонтаж элементов воздухозабора и воздухораспредения, шт.","unit":"ед.","quantity":5,"laborHours":11.101713175559038,"machineHours":1.9051418570443734,"cost":527.0312657506828,"materialsCost":0,"materialsRows":2,"sourceRows":2,"sourceKeys":["auto-0932526e","auto-0a325401"],"stableKey":"auto-f03871e3","rate":105.40625315013656,"scheduledQuantity":19,"scheduledCost":2002.7188098525946,"quantityVariance":14,"scheduleRows":1},{"code":"KQ-03-16","name":"Демонтаж отопительных приборов, шт.","unit":"ед.","quantity":2,"laborHours":4.9411788721081145,"machineHours":0.7620567428177494,"cost":224.7485771415027,"materialsCost":0,"materialsRows":1,"sourceRows":1,"sourceKeys":["auto-027c78ad"],"stableKey":"auto-fe3887ed","rate":112.37428857075135,"scheduledQuantity":0,"scheduledCost":0,"quantityVariance":-2,"scheduleRows":0},{"code":"KQ-97-16","name":"Заправка систем тепло/холодоснабжения рабочими средами, кг","unit":"ед.","quantity":10,"laborHours":4.007849926678105,"machineHours":1.2406582618854451,"cost":197.20418042213328,"materialsCost":0,"materialsRows":1,"sourceRows":1,"sourceKeys":["auto-3be2e86e"],"stableKey":"auto-b7abee32","rate":19.72041804221333,"scheduledQuantity":0,"scheduledCost":0,"quantityVariance":-10,"scheduleRows":0},{"code":"KQ-44-01","name":"Монтаж вспомогательных опорных металлоконструкций для кабеленесущих систем и оборудования ЭОМ и КИПиА, т","unit":"ед.","quantity":0.01,"laborHours":2.9559469418724085,"machineHours":0.11823160941926629,"cost":92.68199592513757,"materialsCost":0,"materialsRows":1,"sourceRows":1,"sourceKeys":["auto-28b7aeaa"],"stableKey":"auto-f2333d7e","rate":9268.199592513756,"scheduledQuantity":13.86,"scheduledCost":128457.24635224066,"quantityVariance":13.85,"scheduleRows":1},{"code":"KQ-03-14","name":"Демонтаж ЗРА и встраиваемых линейных элементов, шт.","unit":"ед.","quantity":1,"laborHours":0.9463951468755463,"machineHours":0.29573280460656115,"cost":60.17761919468424,"materialsCost":0,"materialsRows":1,"sourceRows":1,"sourceKeys":["auto-567bbb1c"],"stableKey":"auto-fc3884c7","rate":60.17761919468424,"scheduledQuantity":33,"scheduledCost":1985.86143342458,"quantityVariance":32,"scheduleRows":1},{"code":"KQ-03-17","name":"Демонтаж воздуховодов, м2","unit":"ед.","quantity":4,"laborHours":1.6111430980409298,"machineHours":0.015241134856354989,"cost":46.60498432677472,"materialsCost":0,"materialsRows":1,"sourceRows":1,"sourceKeys":["auto-9af8d3e1"],"stableKey":"auto-fd38865a","rate":11.65124608169368,"scheduledQuantity":425.89000000000004,"scheduledCost":4962.149193732522,"quantityVariance":421.89000000000004,"scheduleRows":1},{"code":"KQ-03-27","name":"Демонтаж изоляции, м2","unit":"ед.","quantity":0.6,"laborHours":1.3415151206960867,"machineHours":0.007097587310557468,"cost":38.16583726630687,"materialsCost":0,"materialsRows":1,"sourceRows":1,"sourceKeys":["auto-7e093fb4"],"stableKey":"auto-6d30e7e5","rate":63.60972877717813,"scheduledQuantity":25.44,"scheduledCost":1618.2315000914116,"quantityVariance":24.84,"scheduleRows":1},{"code":"KQ-26-01","name":"HeavyLift статического колонного, теплообменного и емкостного оборудования, т","unit":"ед.","quantity":110.9,"laborHours":0,"machineHours":0,"cost":598721.5689267876,"materialsCost":0,"materialsRows":1,"sourceRows":1,"sourceKeys":["auto-54f1a35d"],"stableKey":"auto-7a20c196","rate":5398.751748663549,"rateSource":"KQ manual override","scheduledQuantity":0,"scheduledCost":0,"quantityVariance":-110.9,"scheduleRows":0},{"code":"KQ-37-02","name":"ОГЗ металлоконструкций (окрасочная), м2","unit":"ед.","quantity":3385.122,"laborHours":21655.973812,"machineHours":2872.1987649999996,"cost":2831554.572,"materialsCost":0,"materialsRows":6,"sourceRows":6,"sourceKeys":["auto-5a6c206f","auto-94eff779","auto-0a03dde5","auto-0703d92c","auto-0803dabf","auto-0d03e29e"],"stableKey":"auto-23ab0855","rate":836.4704645800064,"rateSource":"KQ manual override","scheduledQuantity":3008.5924999999997,"scheduledCost":2516598.7662069225,"quantityVariance":-376.5295000000001,"scheduleRows":1},{"code":"KQ-26-04","name":"HeavyLift блочных и комплектных установок, т","unit":"ед.","quantity":0,"laborHours":0,"machineHours":0,"cost":0,"materialsCost":0,"materialsRows":1,"sourceRows":1,"sourceKeys":["auto-c9f3a0c3"],"stableKey":"auto-7f20c975","rate":0,"scheduledQuantity":0,"scheduledCost":0,"quantityVariance":0,"scheduleRows":0},{"code":"KQ-111-11","name":"KQ-111-11","unit":"ед.","laborHours":0,"machineHours":0,"materialsCost":null,"sourceRows":0,"quantity":7234,"cost":1553839.45,"rate":214.7967168924523,"rateSource":"KQ manual override","scheduledQuantity":7193.6,"scheduledCost":1545161.6626375453,"quantityVariance":-40.399999999999636,"scheduleRows":4}],"portfolioYearMissing":false,"materialKinds":{}}],"sourceProfiles":{}},{"id":"d_scenario_b_4700134128","number":"4700134128-B","name":"Расчётный договор Б · половина работ, график +3 мес.","year":2026,"vatRate":22,"sourceIdentityConfirmed":true,"sourceIdentityEvidence":"Расчётный сценарий: отдельный BOQ содержит номер 4700134128-B; документный факт отсутствует.","sourceProfiles":{"boq":{"path":"data/contractors/c1/sources/scenario-b/boq.xlsx"},"ksg":{"path":"data/contractors/c1/sources/scenario-b/ksg.xlsx"},"personnel":{"path":"data/contractors/c1/sources/scenario-b/personnel.xlsx"},"equipment":{"path":"data/contractors/c1/sources/scenario-b/equipment.xlsx"},"primary_documents":{"path":"data/sources/primary_documents.xlsx"},"payments":{"path":"data/sources/payments.xlsx"},"factoring":{"path":"data/sources/factoring.xlsx"}},"sourceIdentities":{"boq":{"contractNumber":"4700134128-B"},"primary_documents":{"contractor":"Подрядчик-1--2","contractNumber":"4700134128-B","project":"ПЭ"},"payments":{"contractor":"ООО \"Подрядчик-1--2\"","alternateContractors":["Подрядчик-1--2, ООО"],"contractNumber":"4700134128-B","project":"мПЭ"},"personnel":{"contractor":"Подрядчик-1 · договор Б"},"equipment":{"contractor":"Подрядчик-1 · договор Б"}},"sources":{},"parameters":{"payroll":{"value":1875,"method":"monthly","enabled":true,"lag":0,"cash":true,"vat":false,"rateCurrency":"USD","rateSource":"Исходная модель, Детальная модель!E25","rateNote":"ВКС; прочие категории E26:E29 требуют отдельных драйверов"},"payrollTax":{"value":13,"method":"rate","enabled":true,"lag":0,"cash":true,"vat":false,"rateCurrency":null,"rateSource":"Исходная модель, строка 48","rateNote":"Расчётное допущение приложения; проверьте формулу НДФЛ"},"insurance":{"value":30.9,"method":"rate","enabled":true,"lag":0,"cash":true,"vat":false,"rateCurrency":null,"rateSource":"Исходная модель, Детальная модель!F26:F29","rateNote":"Для ВКС F25 = 0,9%; нужен раздельный персонал"},"vacation":{"value":9.226190476190476,"method":"rate","enabled":true,"lag":0,"cash":false,"vat":false,"rateCurrency":null,"rateSource":"Исходная модель, Детальная модель!F50","rateNote":"Согласованные 8% годового ФОТ/мес.; F50 = 9,22619% на другой базе"},"subcontract":{"value":0,"method":"percentRevenue","enabled":true,"lag":0,"cash":true,"vat":true,"rateCurrency":null,"rateSource":"Исходная модель, Детальная модель!F51","rateNote":"Ставка отсутствует; факт только по первичке"},"equipment":{"value":62.5,"method":"unit","enabled":true,"lag":0,"cash":true,"vat":true,"rateCurrency":"USD","rateSource":"Исходная модель, Детальная модель!F52","rateNote":""},"scaffolding":{"value":0,"method":"manual","enabled":true,"lag":0,"cash":true,"vat":true,"rateCurrency":"USD","rateSource":"Исходная модель, Детальная модель!F53","rateNote":"Ставка отсутствует; факт по первичке"},"scaffoldLabor":{"value":18.75,"method":"unit","enabled":true,"lag":0,"cash":true,"vat":true,"rateCurrency":"USD","rateSource":"Исходная модель, Детальная модель!F54","rateNote":""},"projectMaterials":{"value":10,"method":"materials","enabled":true,"lag":0,"cash":true,"vat":true,"rateCurrency":null,"rateSource":"Исходная модель, Детальная модель!F55","rateNote":"F55=10%; проверить состав базы МТР"},"consumables":{"value":10,"method":"percentPayroll","enabled":true,"lag":0,"cash":true,"vat":true,"rateCurrency":null,"rateSource":"Исходная модель, Детальная модель!F56","rateNote":""},"nrk":{"value":50,"method":"unit","enabled":true,"lag":0,"cash":true,"vat":true,"rateCurrency":"USD","rateSource":"Исходная модель, Детальная модель!F57","rateNote":""},"otherDirect":{"value":0,"method":"manual","enabled":true,"lag":0,"cash":true,"vat":true,"rateCurrency":"USD","rateSource":"Исходная модель, Детальная модель!F58","rateNote":"Ставка отсутствует; факт по первичке"},"indirectPayroll":{"value":2718.75,"method":"monthly","enabled":true,"lag":0,"cash":true,"vat":false,"rateCurrency":"USD","rateSource":"Исходная модель, Детальная модель!E31","rateNote":"ВКС; прочие категории E32:E35 требуют отдельных драйверов"},"indirectTax":{"value":13,"method":"rate","enabled":true,"lag":0,"cash":true,"vat":false,"rateCurrency":null,"rateSource":"Исходная модель, строка 61","rateNote":"Расчётное допущение приложения; проверьте формулу НДФЛ"},"indirectInsurance":{"value":30.9,"method":"rate","enabled":true,"lag":0,"cash":true,"vat":false,"rateCurrency":null,"rateSource":"Исходная модель, Детальная модель!F32:F35","rateNote":"Для ВКС F31 = 0,9%; нужен раздельный персонал"},"indirectVacation":{"value":9.226190476190476,"method":"rate","enabled":true,"lag":0,"cash":false,"vat":false,"rateCurrency":null,"rateSource":"Исходная модель, Детальная модель!F63","rateNote":"Согласованные 8% годового ФОТ/мес.; F63 = 9,22619% на другой базе"},"food":{"value":8.125,"method":"day","enabled":true,"lag":0,"cash":true,"vat":true,"rateCurrency":"USD","rateSource":"Исходная модель, Детальная модель!F64","rateNote":""},"housing":{"value":6.25,"method":"day","enabled":true,"lag":0,"cash":true,"vat":true,"rateCurrency":"USD","rateSource":"Исходная модель, Детальная модель!F65","rateNote":""},"bus":{"value":7991.803278688525,"method":"unit","enabled":true,"lag":0,"cash":true,"vat":true,"rateCurrency":"USD","rateSource":"Исходная модель, Детальная модель!F66","rateNote":""},"car":{"value":3995.9016393442625,"method":"unit","enabled":true,"lag":0,"cash":true,"vat":true,"rateCurrency":"USD","rateSource":"Исходная модель, Детальная модель!F67","rateNote":""},"formwork":{"value":0,"method":"manual","enabled":true,"lag":0,"cash":true,"vat":true,"rateCurrency":"USD","rateSource":"Исходная модель, строка 53","rateNote":"Нет отдельной ставки; факт по первичке"},"ppe":{"value":375,"method":"annualPerPerson","enabled":true,"lag":0,"cash":true,"vat":true,"rateCurrency":"USD","rateSource":"Исходная модель, Детальная модель!F68","rateNote":""},"tickets":{"value":500,"method":"rotation","enabled":true,"lag":0,"cash":true,"vat":true,"rateCurrency":"USD","rateSource":"Исходная модель, Детальная модель!F69","rateNote":""},"permit":{"value":100,"method":"perPerson","enabled":true,"lag":0,"cash":true,"vat":true,"rateCurrency":"USD","rateSource":"Исходная модель, Детальная модель!F70","rateNote":""},"medical":{"value":37.5,"method":"perPerson","enabled":true,"lag":0,"cash":true,"vat":true,"rateCurrency":"USD","rateSource":"Исходная модель, Детальная модель!F71","rateNote":""},"vziz":{"value":20.833333333333336,"method":"annualPerPerson","enabled":true,"lag":0,"cash":true,"vat":true,"rateCurrency":"USD","rateSource":"Исходная модель, Детальная модель!F72","rateNote":""},"office":{"value":3750,"method":"monthly","enabled":true,"lag":0,"cash":true,"vat":true,"rateCurrency":"USD","rateSource":"Исходная модель, Детальная модель!F73","rateNote":""},"warehouse":{"value":10000,"method":"monthly","enabled":true,"lag":0,"cash":true,"vat":true,"rateCurrency":"USD","rateSource":"Исходная модель, Детальная модель!F74","rateNote":""},"internet":{"value":0,"method":"monthly","enabled":true,"lag":0,"cash":true,"vat":true,"rateCurrency":"USD","rateSource":"Исходная модель, строка 74","rateNote":"Нет ставки в исходной модели; первичка"},"waste":{"value":0,"method":"monthly","enabled":true,"lag":0,"cash":true,"vat":true,"rateCurrency":"USD","rateSource":"Исходная модель, строка 74","rateNote":"Нет ставки в исходной модели; первичка"},"safety":{"value":1,"method":"percentPayroll","enabled":true,"lag":0,"cash":true,"vat":true,"rateCurrency":null,"rateSource":"Исходная модель, Детальная модель!F75","rateNote":""},"accident":{"value":62.5,"method":"annualPerPerson","enabled":true,"lag":0,"cash":true,"vat":true,"rateCurrency":"USD","rateSource":"Исходная модель, Детальная модель!F76","rateNote":""},"it":{"value":0,"method":"manual","enabled":true,"lag":0,"cash":true,"vat":true,"rateCurrency":"USD","rateSource":"Исходная модель, строка 77","rateNote":"Нет ставки в исходной модели; первичка"},"containers":{"value":0,"method":"manual","enabled":true,"lag":0,"cash":true,"vat":true,"rateCurrency":"USD","rateSource":"Исходная модель, строка 77","rateNote":"Нет ставки в исходной модели; первичка"},"modularOffice":{"value":0,"method":"manual","enabled":true,"lag":0,"cash":true,"vat":true,"rateCurrency":"USD","rateSource":"Исходная модель, строка 77","rateNote":"Нет ставки в исходной модели; первичка"},"transport":{"value":0,"method":"manual","enabled":true,"lag":0,"cash":true,"vat":true,"rateCurrency":"USD","rateSource":"Исходная модель, строка 77","rateNote":"Нет ставки в исходной модели; первичка"},"otherIndirect":{"value":10,"method":"percentDirect","enabled":true,"lag":0,"cash":true,"vat":true,"rateCurrency":null,"rateSource":"Исходная модель, Детальная модель!F77","rateNote":"Базу прочих косвенных нужно сверить"}},"versions":[{"id":"v_scenario_b_2026","name":"Расчётный договор Б 2026","created":"2026-09-22","drivers":{"revenue":[0,0,0,0,0,0,0,0,0,0,0,0],"materials":[0,0,0,0,0,0,0,0,0,0,0,0],"directPeople":[0,0,0,86.8137372914242,119.59298572793655,130.81784669818654,137.2051277262414,144.87143793968937,154.25672012136178,178.81830786407508,291.26702518089564,450.00432766956806],"indirectPeople":[0,0,0,60.41717032155002,72.8660061848165,68.14443350155788,61.59297270873696,64.1628284278897,68.54161089656083,70.04675592564378,92.07097690762042,117.15980820037593],"equipmentHours":[0,0,0,3186.16886006202,4291.633068729748,4048.849959356791,3609.3299148420183,3086.481266365736,3260.678946119628,3776.626145801553,6835.036299304284,10560.05537377686],"nrkVolume":[0,0,0,1179.8330495675723,1126.2279631265046,1193.9817569302793,663.1835144129,236.4959864280868,117.71541666872663,117.71541666872663,45.568437800150186,0],"payments":[0,0,0,0,0,0,0,0,0,0,0,0],"advances":[0,0,0,0,0,0,0,0,0,0,0,0],"advanceOffset":[0,0,0,0,0,0,0,0,0,0,0,0],"factoring":[0,0,0,0,0,0,0,0,0,0,0,0],"guaranteeRate":[0,0,0,0,0,0,0,0,0,0,0,0],"otherRevenue":[0,0,0,0,0,0,0,0,0,0,0,0],"scaffoldPeople":[0,0,0,7.284862616266954,11.363374480087897,10.543880102491645,12.708693527730487,11.959561906462548,14.293470658286807,15.76420675463436,24.35552482282363,25.630018327563675],"laborIntensity":[0,0,0,187.2950186657535,215.04722736309094,215.8934413302909,219.1731041761568,230.37911045571403,261.6533894189227,377.0779878611739,566.430829400012,616.3423058752873],"passivePeople":[0,0,0,32.77924843651235,11.224860970249992,6.38728102805483,7.6663102134479955,9.385282181672412,24.561587742713293,112.44871731682056,158.73730248867244,23.54815167777958],"sourceDays":[31,28,31,30,31,30,31,31,30,31,30,31],"ksgRevenue":[40803.34066081204,71855.81037021124,72856.37510137481,117407.40422806157,100913.9288840428,339009.3668815182,358410.7981196911,906915.7947023972,1062723.6369677214,952030.442288632,1743380.801823204,2917607.516855051],"ksgMaterialsRevenue":[13933.875,14072.625,18145.4375,6328.125,4283.6875,16205.687499999998,32312.9125,99302.51874999999,84924.141875,53594.89525,85929.43579166666,175950.46504166664],"ks2Accepted":[34889.82028552975,39821.76622870263,68750.56339927133,72756.31862825845,112952.30131539289,102563.27641844467,315199.8230817707,356470.6549958738,852065.2950441267,1047142.8527411891,963099.7617565411,1664245.7658697467],"primaryExecuted":[0,0,0,0,0,0,0,0,0,0,0,0],"primaryDeductions":[0,0,0,0,0,0,0,0,0,0,0,0],"primaryAdvanceOffset":[0,0,0,0,0,0,0,0,0,0,0,0],"primaryGuaranteeHold":[0,0,0,0,0,0,0,0,0,0,0,0],"paymentVat":[0,0,0,0,0,0,0,0,0,0,0,0],"advanceVat":[0,0,0,0,0,0,0,0,0,0,0,0],"physicalVolume":[113.06,173.42999999999998,113.15,96.73,58.69,1971.5200000000002,1781.77,5084.790000000001,16565.91,11533.089999999998,23760.961666666673,36728.492499999986],"auxiliaryPeople":[0,0,0,0,0,0,0,0,0,0,0,0]},"parameters":{"payroll":{"value":1875,"method":"monthly","enabled":true,"lag":0,"cash":true,"vat":false,"rateCurrency":"USD","rateSource":"Исходная модель, Детальная модель!E25","rateNote":"ВКС; прочие категории E26:E29 требуют отдельных драйверов"},"payrollTax":{"value":13,"method":"rate","enabled":true,"lag":0,"cash":true,"vat":false,"rateCurrency":null,"rateSource":"Исходная модель, строка 48","rate</t>
        </is>
      </c>
    </row>
    <row r="13">
      <c r="A13" t="inlineStr">
        <is>
          <t>Note":"Расчётное допущение приложения; проверьте формулу НДФЛ"},"insurance":{"value":30.9,"method":"rate","enabled":true,"lag":0,"cash":true,"vat":false,"rateCurrency":null,"rateSource":"Исходная модель, Детальная модель!F26:F29","rateNote":"Для ВКС F25 = 0,9%; нужен раздельный персонал"},"vacation":{"value":9.226190476190476,"method":"rate","enabled":true,"lag":0,"cash":false,"vat":false,"rateCurrency":null,"rateSource":"Исходная модель, Детальная модель!F50","rateNote":"Согласованные 8% годового ФОТ/мес.; F50 = 9,22619% на другой базе"},"subcontract":{"value":0,"method":"percentRevenue","enabled":true,"lag":0,"cash":true,"vat":true,"rateCurrency":null,"rateSource":"Исходная модель, Детальная модель!F51","rateNote":"Ставка отсутствует; факт только по первичке"},"equipment":{"value":62.5,"method":"unit","enabled":true,"lag":0,"cash":true,"vat":true,"rateCurrency":"USD","rateSource":"Исходная модель, Детальная модель!F52","rateNote":""},"scaffolding":{"value":0,"method":"manual","enabled":true,"lag":0,"cash":true,"vat":true,"rateCurrency":"USD","rateSource":"Исходная модель, Детальная модель!F53","rateNote":"Ставка отсутствует; факт по первичке"},"scaffoldLabor":{"value":18.75,"method":"unit","enabled":true,"lag":0,"cash":true,"vat":true,"rateCurrency":"USD","rateSource":"Исходная модель, Детальная модель!F54","rateNote":""},"projectMaterials":{"value":10,"method":"materials","enabled":true,"lag":0,"cash":true,"vat":true,"rateCurrency":null,"rateSource":"Исходная модель, Детальная модель!F55","rateNote":"F55=10%; проверить состав базы МТР"},"consumables":{"value":10,"method":"percentPayroll","enabled":true,"lag":0,"cash":true,"vat":true,"rateCurrency":null,"rateSource":"Исходная модель, Детальная модель!F56","rateNote":""},"nrk":{"value":50,"method":"unit","enabled":true,"lag":0,"cash":true,"vat":true,"rateCurrency":"USD","rateSource":"Исходная модель, Детальная модель!F57","rateNote":""},"otherDirect":{"value":0,"method":"manual","enabled":true,"lag":0,"cash":true,"vat":true,"rateCurrency":"USD","rateSource":"Исходная модель, Детальная модель!F58","rateNote":"Ставка отсутствует; факт по первичке"},"indirectPayroll":{"value":2718.75,"method":"monthly","enabled":true,"lag":0,"cash":true,"vat":false,"rateCurrency":"USD","rateSource":"Исходная модель, Детальная модель!E31","rateNote":"ВКС; прочие категории E32:E35 требуют отдельных драйверов"},"indirectTax":{"value":13,"method":"rate","enabled":true,"lag":0,"cash":true,"vat":false,"rateCurrency":null,"rateSource":"Исходная модель, строка 61","rateNote":"Расчётное допущение приложения; проверьте формулу НДФЛ"},"indirectInsurance":{"value":30.9,"method":"rate","enabled":true,"lag":0,"cash":true,"vat":false,"rateCurrency":null,"rateSource":"Исходная модель, Детальная модель!F32:F35","rateNote":"Для ВКС F31 = 0,9%; нужен раздельный персонал"},"indirectVacation":{"value":9.226190476190476,"method":"rate","enabled":true,"lag":0,"cash":false,"vat":false,"rateCurrency":null,"rateSource":"Исходная модель, Детальная модель!F63","rateNote":"Согласованные 8% годового ФОТ/мес.; F63 = 9,22619% на другой базе"},"food":{"value":8.125,"method":"day","enabled":true,"lag":0,"cash":true,"vat":true,"rateCurrency":"USD","rateSource":"Исходная модель, Детальная модель!F64","rateNote":""},"housing":{"value":6.25,"method":"day","enabled":true,"lag":0,"cash":true,"vat":true,"rateCurrency":"USD","rateSource":"Исходная модель, Детальная модель!F65","rateNote":""},"bus":{"value":7991.803278688525,"method":"unit","enabled":true,"lag":0,"cash":true,"vat":true,"rateCurrency":"USD","rateSource":"Исходная модель, Детальная модель!F66","rateNote":""},"car":{"value":3995.9016393442625,"method":"unit","enabled":true,"lag":0,"cash":true,"vat":true,"rateCurrency":"USD","rateSource":"Исходная модель, Детальная модель!F67","rateNote":""},"formwork":{"value":0,"method":"manual","enabled":true,"lag":0,"cash":true,"vat":true,"rateCurrency":"USD","rateSource":"Исходная модель, строка 53","rateNote":"Нет отдельной ставки; факт по первичке"},"ppe":{"value":375,"method":"annualPerPerson","enabled":true,"lag":0,"cash":true,"vat":true,"rateCurrency":"USD","rateSource":"Исходная модель, Детальная модель!F68","rateNote":""},"tickets":{"value":500,"method":"rotation","enabled":true,"lag":0,"cash":true,"vat":true,"rateCurrency":"USD","rateSource":"Исходная модель, Детальная модель!F69","rateNote":""},"permit":{"value":100,"method":"perPerson","enabled":true,"lag":0,"cash":true,"vat":true,"rateCurrency":"USD","rateSource":"Исходная модель, Детальная модель!F70","rateNote":""},"medical":{"value":37.5,"method":"perPerson","enabled":true,"lag":0,"cash":true,"vat":true,"rateCurrency":"USD","rateSource":"Исходная модель, Детальная модель!F71","rateNote":""},"vziz":{"value":20.833333333333336,"method":"annualPerPerson","enabled":true,"lag":0,"cash":true,"vat":true,"rateCurrency":"USD","rateSource":"Исходная модель, Детальная модель!F72","rateNote":""},"office":{"value":3750,"method":"monthly","enabled":true,"lag":0,"cash":true,"vat":true,"rateCurrency":"USD","rateSource":"Исходная модель, Детальная модель!F73","rateNote":""},"warehouse":{"value":10000,"method":"monthly","enabled":true,"lag":0,"cash":true,"vat":true,"rateCurrency":"USD","rateSource":"Исходная модель, Детальная модель!F74","rateNote":""},"internet":{"value":0,"method":"monthly","enabled":true,"lag":0,"cash":true,"vat":true,"rateCurrency":"USD","rateSource":"Исходная модель, строка 74","rateNote":"Нет ставки в исходной модели; первичка"},"waste":{"value":0,"method":"monthly","enabled":true,"lag":0,"cash":true,"vat":true,"rateCurrency":"USD","rateSource":"Исходная модель, строка 74","rateNote":"Нет ставки в исходной модели; первичка"},"safety":{"value":1,"method":"percentPayroll","enabled":true,"lag":0,"cash":true,"vat":true,"rateCurrency":null,"rateSource":"Исходная модель, Детальная модель!F75","rateNote":""},"accident":{"value":62.5,"method":"annualPerPerson","enabled":true,"lag":0,"cash":true,"vat":true,"rateCurrency":"USD","rateSource":"Исходная модель, Детальная модель!F76","rateNote":""},"it":{"value":0,"method":"manual","enabled":true,"lag":0,"cash":true,"vat":true,"rateCurrency":"USD","rateSource":"Исходная модель, строка 77","rateNote":"Нет ставки в исходной модели; первичка"},"containers":{"value":0,"method":"manual","enabled":true,"lag":0,"cash":true,"vat":true,"rateCurrency":"USD","rateSource":"Исходная модель, строка 77","rateNote":"Нет ставки в исходной модели; первичка"},"modularOffice":{"value":0,"method":"manual","enabled":true,"lag":0,"cash":true,"vat":true,"rateCurrency":"USD","rateSource":"Исходная модель, строка 77","rateNote":"Нет ставки в исходной модели; первичка"},"transport":{"value":0,"method":"manual","enabled":true,"lag":0,"cash":true,"vat":true,"rateCurrency":"USD","rateSource":"Исходная модель, строка 77","rateNote":"Нет ставки в исходной модели; первичка"},"otherIndirect":{"value":10,"method":"percentDirect","enabled":true,"lag":0,"cash":true,"vat":true,"rateCurrency":null,"rateSource":"Исходная модель, Детальная модель!F77","rateNote":"Базу прочих косвенных нужно сверить"}},"year":2026,"vatRate":22,"vacationBasis":"source","bindings":{},"manualCosts":{},"manualPayments":{},"dataMode":"imported","currency":"USD","fxRate":80,"fxRateSource":"Исходная модель, Детальная модель!E2; имитационный, подтвердить для договора","workItems":[{"sourceKind":"ksg","sourceRow":5,"sourceKey":"auto-354faac6","workId":"","name":"Демонтаж дорог, площадок и тротуаров","unit":"м3","kq1":"","kq2":"KQ-01-01","stableKey":"auto-c2627ef2","plannedQuantity":2256.46,"scheduleQuantity":1718.53,"volumes":[52.35,95.02,33.28,20.01,6.74,143.03,446.15,274.9,599.12,35.65,12.28,0],"matchRule":"exact","matchConfidence":1,"contractRate":180.1994067675495,"currentRate":0,"actualRate":0,"rate":180.1994067675495},{"sourceKind":"ksg","sourceRow":14,"sourceKey":"auto-e22d02f2","workId":"","name":"Демонтаж черновой отделки","unit":"м2","kq1":"","kq2":"KQ-03-08","stableKey":"auto-8868b569","plannedQuantity":504.45,"scheduleQuantity":504.45,"volumes":[0,0,0,0,0,0,0,503.28,1.17,0,0,0],"matchRule":"exact","matchConfidence":1,"contractRate":61.99814671550065,"currentRate":0,"actualRate":0,"rate":61.99814671550065},{"sourceKind":"ksg","sourceRow":17,"sourceKey":"auto-63c64aa4","workId":"","name":"Демонтаж инженерных и технологических трубопроводов","unit":"м","kq1":"","kq2":"KQ-03-13","stableKey":"auto-cc0b3eae","plannedQuantity":3490.03,"scheduleQuantity":2270.11,"volumes":[4.17,0.83,0,0,0,0,0,0,0,0,2230.61,34.5],"matchRule":"exact","matchConfidence":1,"contractRate":70.57416113781942,"currentRate":0,"actualRate":0,"rate":70.57416113781942},{"sourceKind":"ksg","sourceRow":19,"sourceKey":"auto-7baf5653","workId":"","name":"Демонтаж отопительных приборов","unit":"шт.","kq1":"","kq2":"KQ-03-16","stableKey":"auto-0cb17892","plannedQuantity":4,"scheduleQuantity":2,"volumes":[1.67,0.33,0,0,0,0,0,0,0,0,0,0],"matchRule":"exact","matchConfidence":1,"contractRate":112.37428857075135,"currentRate":0,"actualRate":0,"rate":112.37428857075135},{"sourceKind":"ksg","sourceRow":21,"sourceKey":"auto-6d2612a7","workId":"","name":"Демонтаж элементов воздухозабора и воздухораспредения","unit":"шт.","kq1":"","kq2":"KQ-03-18","stableKey":"auto-e1428e17","plannedQuantity":233,"scheduleQuantity":24,"volumes":[4.17,0.83,0,0,0,0,0,0,0,2,17,0],"matchRule":"exact","matchConfidence":1,"contractRate":105.40625315013656,"currentRate":0,"actualRate":0,"rate":105.40625315013656},{"sourceKind":"ksg","sourceRow":24,"sourceKey":"auto-e04c0f0d","workId":"","name":"Демонтаж электроустановочных изделий и компонентов КИПиА и слаботочных систем","unit":"шт.","kq1":"","kq2":"KQ-03-26","stableKey":"auto-eded81fa","plannedQuantity":44,"scheduleQuantity":28,"volumes":[4.17,0.83,0,0,0,0,0,0,0,0,11.91,11.09],"matchRule":"exact","matchConfidence":1,"contractRate":108.39488148529834,"currentRate":0,"actualRate":0,"rate":108.39488148529834},{"sourceKind":"ksg","sourceRow":26,"sourceKey":"auto-59aab71f","workId":"","name":"Расчистка и планировка площадки строительства","unit":"м2","kq1":"","kq2":"KQ-05-01","stableKey":"auto-342c9105","plannedQuantity":3446,"scheduleQuantity":3446,"volumes":[0,0,0,0,0,0,0,0,3446,0,0,0],"matchRule":"exact","matchConfidence":1,"contractRate":7.875669892926537,"currentRate":0,"actualRate":0,"rate":7.875669892926537},{"sourceKind":"ksg","sourceRow":31,"sourceKey":"auto-15711dd6","workId":"","name":"Устройство подбетонки","unit":"м3","kq1":"","kq2":"KQ-12-01","stableKey":"auto-12587403","plannedQuantity":332.65,"scheduleQuantity":224.13000000000002,"volumes":[46.53,50.61,60.88,4.32,7.85,2.44,0.77,24.44,21.46,0,4.83,0],"matchRule":"exact","matchConfidence":1,"contractRate":333.6880358759681,"currentRate":0,"actualRate":0,"rate":333.6880358759681},{"sourceKind":"ksg","sourceRow":33,"sourceKey":"auto-e1391094","workId":"","name":"Утепление строительных конструкций ниже 0","unit":"м3","kq1":"","kq2":"KQ-12-03","stableKey":"auto-02074cc8","plannedQuantity":24.07,"scheduleQuantity":22.919999999999998,"volumes":[0,0,0,0,0,6.1,10.56,2.42,1.91,0,1.93,0],"matchRule":"exact","matchConfidence":1,"contractRate":482.33722088206144,"currentRate":0,"actualRate":0,"rate":482.33722088206144},{"sourceKind":"ksg","sourceRow":36,"sourceKey":"auto-13df42c8","workId":"","name":"Устройство безусадочной подливки","unit":"м3","kq1":"","kq2":"KQ-16-01","stableKey":"auto-f7db543f","plannedQuantity":129.58,"scheduleQuantity":125.04,"volumes":[0,0,0.18,0,0,10.41,19.45,12.49,16.83,17.31,22.37,26],"matchRule":"exact","matchConfidence":1,"contractRate":4454.7041209872905,"currentRate":0,"actualRate":0,"rate":4454.7041209872905},{"sourceKind":"ksg","sourceRow":40,"sourceKey":"auto-9ed76c10","workId":"","name":"Устройство открытого подземного перехода (футляра)","unit":"м","kq1":"","kq2":"KQ-20-02","stableKey":"auto-234979cf","plannedQuantity":5.1,"scheduleQuantity":5.1,"volumes":[0,0,0,0,0,0,0,5.1,0,0,0,0],"matchRule":"exact","matchConfidence":1,"contractRate":683.2825025568851,"currentRate":0,"actualRate":0,"rate":683.2825025568851},{"sourceKind":"ksg","sourceRow":42,"sourceKey":"auto-bee881bb","workId":"","name":"Монтаж основных металлоконструкций зданий","unit":"т","kq1":"","kq2":"KQ-22-01","stableKey":"auto-27d04a17","plannedQuantity":1.86,"scheduleQuantity":1.86,"volumes":[0,0,0,0,0,0,0,0,0,1.86,0,0],"matchRule":"exact","matchConfidence":1,"contractRate":2661.316151656845,"currentRate":0,"actualRate":0,"rate":2661.316151656845},{"sourceKind":"ksg","sourceRow":44,"sourceKey":"auto-cbe26e6b","workId":"","name":"Монтаж основных металлоконструкций эстакад","unit":"т","kq1":"","kq2":"KQ-22-03","stableKey":"auto-718e5d8c","plannedQuantity":39.58,"scheduleQuantity":39.58,"volumes":[0,0,0,0,0,34.61,1.19,0,0,0,3.78,0],"matchRule":"exact","matchConfidence":1,"contractRate":3529.527375614721,"currentRate":0,"actualRate":0,"rate":3529.527375614721},{"sourceKind":"ksg","sourceRow":46,"sourceKey":"auto-80f3d003","workId":"","name":"Монтаж металлоконструкций усиления","unit":"т","kq1":"","kq2":"KQ-23-02","stableKey":"auto-43630209","plannedQuantity":4.16,"scheduleQuantity":2.69,"volumes":[0,0,0,0,0,0,0,0,0,0,0.09,2.6],"matchRule":"exact","matchConfidence":1,"contractRate":11080.965152184348,"currentRate":0,"actualRate":0,"rate":11080.965152184348},{"sourceKind":"ksg","sourceRow":48,"sourceKey":"auto-b52057eb","workId":"","name":"Монтаж стеновых сэндвич панелей","unit":"м2","kq1":"","kq2":"KQ-25-01","stableKey":"auto-06aa4a3e","plannedQuantity":2545.4,"scheduleQuantity":2375.88,"volumes":[0,0,0,0,0,0,0,1807.96,159.97,0,84.76,323.19],"matchRule":"exact","matchConfidence":1,"contractRate":318.09430051272454,"currentRate":0,"actualRate":0,"rate":318.09430051272454},{"sourceKind":"ksg","sourceRow":51,"sourceKey":"auto-cda00dcd","workId":"","name":"Монтаж статического колонного и емкостного оборудования","unit":"т","kq1":"","kq2":"KQ-27-02","stableKey":"auto-598d25d1","plannedQuantity":133.08,"scheduleQuantity":128.38,"volumes":[0,22.14,18.81,51.28,20.08,9.65,1.14,0.24,0,0,5.04,0],"matchRule":"exact","matchConfidence":1,"contractRate":1458.1691406042196,"currentRate":0,"actualRate":0,"rate":1458.1691406042196},{"sourceKind":"ksg","sourceRow":53,"sourceKey":"auto-91bcfe38","workId":"","name":"Монтаж теплообменников, холодильников и пароводяных подогревателей","unit":"т","kq1":"","kq2":"KQ-27-04","stableKey":"auto-689d51cd","plannedQuantity":47.74,"scheduleQuantity":47.739999999999995,"volumes":[0,0,0,19.98,13.68,3.29,9.81,0.98,0,0,0,0],"matchRule":"exact","matchConfidence":1,"contractRate":2452.660065582938,"currentRate":0,"actualRate":0,"rate":2452.660065582938},{"sourceKind":"ksg","sourceRow":55,"sourceKey":"auto-e158935c","workId":"","name":"Монтаж градирен","unit":"т","kq1":"","kq2":"KQ-27-10","stableKey":"auto-65656144","plannedQuantity":27.84,"scheduleQuantity":1.44,"volumes":[0,0,0,0,0,0,0,0,0,0,0,1.44],"matchRule":"exact","matchConfidence":1,"contractRate":2452.2758508749253,"currentRate":0,"actualRate":0,"rate":2452.2758508749253},{"sourceKind":"ksg","sourceRow":58,"sourceKey":"auto-d939a03e","workId":"","name":"Монтаж механических фильтров и циклонов","unit":"т","kq1":"","kq2":"KQ-27-14","stableKey":"auto-8c113199","plannedQuantity":14.99,"scheduleQuantity":14.99,"volumes":[0,2.84,0,1.14,10.34,0.67,0,0,0,0,0,0],"matchRule":"exact","matchConfidence":1,"contractRate":2717.9117588112936,"currentRate":0,"actualRate":0,"rate":2717.9117588112936},{"sourceKind":"ksg","sourceRow":60,"sourceKey":"auto-03901413","workId":"","name":"Монтаж грузоподъемного оборудования","unit":"шт.","kq1":"","kq2":"KQ-28-01","stableKey":"auto-c139fb77","plannedQuantity":20,"scheduleQuantity":20,"volumes":[0,0,0,0,0,0,0,0,0,0,14.28,5.72],"matchRule":"exact","matchConfidence":1,"contractRate":10482.925163291258,"currentRate":0,"actualRate":0,"rate":10482.925163291258},{"sourceKind":"ksg","sourceRow":63,"sourceKey":"auto-5e263184","workId":"","name":"Монтаж технологических трубопроводов обвязки этажерок и структур (стальные)","unit":"м","kq1":"","kq2":"KQ-33-01","stableKey":"auto-a0558f66","plannedQuantity":32995.4,"scheduleQuantity":9966.9,"volumes":[0,0,0,0,0,0,0,471.52,1955.43,2003.99,2134.58,3401.38],"matchRule":"exact","matchConfidence":1,"contractRate":180.7700561307037,"currentRate":0,"actualRate":0,"rate":180.7700561307037,"originalKq2":"KQ-33-01","rateSource":"KQ KQ-33-01 × 50%"},{"sourceKind":"ksg","sourceRow":65,"sourceKey":"auto-5413d9cf","workId":"","name":"Монтаж арматуры технологических трубопроводов","unit":"шт.","kq1":"","kq2":"KQ-33-07","stableKey":"auto-13df87be","plannedQuantity":7250,"scheduleQuantity":459.77,"volumes":[0,0,0,0,0,0,0,0,0,0,20.06,439.71],"matchRule":"exact","matchConfidence":1,"contractRate":391.133611508341,"currentRate":0,"actualRate":0,"rate":391.133611508341},{"sourceKind":"ksg","sourceRow":71,"sourceKey":"auto-f9d3c11b","workId":"","name":"Монтаж стальных трубопроводов теплых полов технологических зон","unit":"м","kq1":"","kq2":"KQ-34-03","stableKey":"auto-98d8e61d","plannedQuantity":5159.2,"scheduleQuantity":5031.79,"volumes":[0,0,0,0,0,1758.24,1292.7,672,352.04,0,524.69,432.12],"matchRule":"exact","matchConfidence":1,"contractRate":108.91575037066414,"currentRate":0,"actualRate":0,"rate":108.91575037066414},{"sourceKind":"ksg","sourceRow":73,"sourceKey":"auto-5f1cf1d6","workId":"","name":"Неразрушающий контроль стыков (все виды, кроме РК)","unit":"стык","kq1":"","kq2":"KQ-35-02","stableKey":"auto-38cabb87","plannedQuantity":85,"scheduleQuantity":24,"volumes":[0,0,0,0,0,0,0,0,0,0,0,24],"matchRule":"exact","matchConfidence":1,"contractRate":65.12830389444824,"currentRate":0,"actualRate":0,"rate":65.12830389444824},{"sourceKind":"ksg","sourceRow":77,"sourceKey":"auto-efb317f0","workId":"","name":"АКЗ металлоконструкций","unit":"м2","kq1":"","kq2":"KQ-38-03","stableKey":"auto-a93205de","plannedQuantity":7550.27,"scheduleQuantity":2166.463333333333,"volumes":[0,0,0,0,0,2.9,0,0,531.27,0,724.47,907.8233333333333],"matchRule":"exact","matchConfidence":1,"contractRate":215.75414471785402,"currentRate":0,"actualRate":0,"rate":215.75414471785402},{"sourceKind":"ksg","sourceRow":81,"sourceKey":"auto-184a3f8f","workId":"","name":"Тепловая изоляция технологических трубопроводов","unit":"м2","kq1":"","kq2":"KQ-40-02","stableKey":"auto-fbf2aa72","plannedQuantity":6444.81,"scheduleQuantity":357.62,"volumes":[0,0,0,0,0,0,0,0,0,0,20.2,337.42],"matchRule":"exact","matchConfidence":1,"contractRate":161.39097971583405,"currentRate":0,"actualRate":0,"rate":161.39097971583405},{"sourceKind":"ksg","sourceRow":87,"sourceKey":"auto-8cab350f","workId":"","name":"Изоляция запорной арматуры термочехлами","unit":"шт.","kq1":"","kq2":"KQ-43-01","stableKey":"auto-433ac785","plannedQuantity":44,"scheduleQuantity":4,"volumes":[0,0,0,0,0,0,0,0,0,0,0,4],"matchRule":"exact","matchConfidence":1,"contractRate":96.15741454249952,"currentRate":0,"actualRate":0,"rate":96.15741454249952},{"sourceKind":"ksg","sourceRow":89,"sourceKey":"auto-62d846f5","workId":"","name":"Монтаж кабельных лотков","unit":"м","kq1":"","kq2":"KQ-45-01","stableKey":"auto-0d268162","plannedQuantity":30023.01,"scheduleQuantity":17676.136666666665,"volumes":[0,0,0,0,0,0,0,1006.02,1558.91,2710.73,4474.41,7926.066666666666],"matchRule":"exact","matchConfidence":1,"contractRate":85.15155759429163,"currentRate":0,"actualRate":0,"rate":85.15155759429163},{"sourceKind":"ksg","sourceRow":92,"sourceKey":"auto-9542410a","workId":"","name":"Монтаж пластиковых коробов","unit":"м","kq1":"","kq2":"KQ-46-01","stableKey":"auto-b0e51824","plannedQuantity":1,"scheduleQuantity":1,"volumes":[0,0,0,0,0,0,0,0,0,0,1,0],"matchRule":"exact","matchConfidence":1,"contractRate":92.3940993805626,"currentRate":0,"actualRate":0,"rate":92.3940993805626},{"sourceKind":"ksg","sourceRow":94,"sourceKey":"auto-6a294f3a","workId":"","name":"Монтаж полимерных труб и гофр","unit":"м","kq1":"","kq2":"KQ-46-03","stableKey":"auto-73cff391","plannedQuantity":162,"scheduleQuantity":12,"volumes":[0,0,0,0,0,0,0,0,0,0,12,0],"matchRule":"exact","matchConfidence":1,"contractRate":49.10398746769686,"currentRate":0,"actualRate":0,"rate":49.10398746769686},{"sourceKind":"ksg","sourceRow":96,"sourceKey":"auto-da7466df","workId":"","name":"Монтаж оптического кабеля","unit":"м","kq1":"","kq2":"KQ-48-02","stableKey":"auto-4ec35368","plannedQuantity":11131,"scheduleQuantity":6645,"volumes":[0,0,0,0,0,0,0,0,0,0,2785,3860],"matchRule":"exact","matchConfidence":1,"contractRate":20.413787866340463,"currentRate":0,"actualRate":0,"rate":20.413787866340463},{"sourceKind":"ksg","sourceRow":98,"sourceKey":"auto-5d8ce036","workId":"","name":"Расключение кабеля КИПиА","unit":"шт. (конец кабеля)","kq1":"","kq2":"KQ-48-04","stableKey":"auto-1b7e2a92","plannedQuantity":9208,"scheduleQuantity":575.71,"volumes":[0,0,0,0,0,0,0,0,10,194.85,10.53,360.33],"matchRule":"exact","matchConfidence":1,"contractRate":141.735047833972,"currentRate":0,"actualRate":0,"rate":141.735047833972},{"sourceKind":"ksg","sourceRow":100,"sourceKey":"auto-56f24b1e","workId":"","name":"Монтаж силового кабеля до 1 кВ","unit":"м","kq1":"","kq2":"KQ-49-01","stableKey":"auto-f9b1607d","plannedQuantity":97842.3,"scheduleQuantity":27647.364999999998,"volumes":[0,0,0,0,0,0,0,29.01,6977.11,6330.98,6044.265,8266],"matchRule":"exact","matchConfidence":1,"contractRate":13.883685550361719,"currentRate":0,"actualRate":0,"rate":13.883685550361719},{"sourceKind":"ksg","sourceRow":102,"sourceKey":"auto-d327b886","workId":"","name":"Расключение силового кабеля до 1 кВ","unit":"шт. (конец кабеля)","kq1":"","kq2":"KQ-49-04","stableKey":"auto-01e1e89c","plannedQuantity":9090,"scheduleQuantity":5341.6,"volumes":[0,0,0,0,0,0,0,0,0,3.06,1475.7,3862.84],"matchRule":"exact","matchConfidence":1,"contractRate":61.718753384787625,"currentRate":0,"actualRate":0,"rate":61.718753384787625},{"sourceKind":"ksg","sourceRow":106,"sourceKey":"auto-1f049a66","workId":"","name":"Монтаж проводника заземления (провод)","unit":"м","kq1":"","kq2":"KQ-51-01","stableKey":"auto-7b0989df","plannedQuantity":7417.85,"scheduleQuantity":4699.83,"volumes":[0,0,0,0,0,0,0,0,44.97,57.03,1817.02,2780.81],"matchRule":"exact","matchConfidence":1,"contractRate":33.897024393933506,"currentRate":0,"actualRate":0,"rate":33.897024393933506},{"sourceKind":"ksg","sourceRow":109,"sourceKey":"auto-91420d12","workId":"","name":"Монтаж ИБП","unit":"шт.","kq1":"","kq2":"KQ-55-01","stableKey":"auto-7b7fd9f2","plannedQuantity":9,"scheduleQuantity":5,"volumes":[0,0,0,0,0,0,0,0,0,0,1,4],"matchRule":"exact","matchConfidence":1,"contractRate":4342.707726361559,"currentRate":0,"actualRate":0,"rate":4342.707726361559},{"sourceKind":"ksg","sourceRow":112,"sourceKey":"auto-1c494724","workId":"","name":"Монтаж малых силовых шкафов","unit":"шт.","kq1":"","kq2":"KQ-57-01","stableKey":"auto-0b81602b","plannedQuantity":87,"scheduleQuantity":47,"volumes":[0,0,0,0,0,0,0,1,0,0,38,8],"matchRule":"exact","matchConfidence":1,"contractRate":169.15606209984324,"currentRate":0,"actualRate":0,"rate":169.15606209984324},{"sourceKind":"ksg","sourceRow":114,"sourceKey":"auto-8389f452","workId":"","name":"Монтаж щитового оборудования РУ, ВРУ","unit":"шт.","kq1":"","kq2":"KQ-57-03","stableKey":"auto-3260498c","plannedQuantity":60,"scheduleQuantity":58.01,"volumes":[0,0,0,0,0,0,0,0,0,6.67,17.72,33.62],"matchRule":"exact","matchConfidence":1,"contractRate":1805.3442281680416,"currentRate":0,"actualRate":0,"rate":1805.3442281680416},{"sourceKind":"ksg","sourceRow":118,"sourceKey":"auto-2ed3b7bd","workId":"","name":"Монтаж оконечных и распределительных устройств слаботочных сетей","unit":"шт.","kq1":"","kq2":"KQ-59-02","stableKey":"auto-59e7d61e","plannedQuantity":601,"scheduleQuantity":36.97,"volumes":[0,0,0,0,0,0,0,0,0,0.97,6.58,29.42],"matchRule":"exact","matchConfidence":1,"contractRate":63.49215477871519,"currentRate":0,"actualRate":0,"rate":63.49215477871519},{"sourceKind":"ksg","sourceRow":120,"sourceKey":"auto-1ce23926","workId":"","name":"Монтаж импульсных трубок","unit":"м","kq1":"","kq2":"KQ-60-02","stableKey":"auto-35e6164a","plannedQuantity":6083,"scheduleQuantity":6,"volumes":[0,0,0,0,0,0,0,0,0,0,0,6],"matchRule":"exact","matchConfidence":1,"contractRate":16.07556380894246,"currentRate":0,"actualRate":0,"rate":16.07556380894246},{"sourceKind":"ksg","sourceRow":122,"sourceKey":"auto-5006e550","workId":"","name":"Монтаж оборудования оповещения и связи","unit":"шт.","kq1":"","kq2":"KQ-60-04","stableKey":"auto-79f94e98","plannedQuantity":60,"scheduleQuantity":4,"volumes":[0,0,0,0,0,0,0,0,0,0,4,0],"matchRule":"exact","matchConfidence":1,"contractRate":204.04558245797935,"currentRate":0,"actualRate":0,"rate":204.04558245797935},{"sourceKind":"ksg","sourceRow":128,"sourceKey":"auto-0fb5897d","workId":"","name":"Монтаж вентиляционных клапанов и заслонок","unit":"шт.","kq1":"","kq2":"KQ-62-02","stableKey":"auto-f7115d1e","plannedQuantity":195,"scheduleQuantity":5,"volumes":[0,0,0,0,0,0,0,0,0,1,0,4],"matchRule":"exact","matchConfidence":1,"contractRate":112.14561637921601,"currentRate":0,"actualRate":0,"rate":112.14561637921601},{"sourceKind":"ksg","sourceRow":130,"sourceKey":"auto-c3b96762","workId":"","name":"Тепловая изоляция воздуховодов","unit":"м2","kq1":"","kq2":"KQ-62-05","stableKey":"auto-b611a2bc","plannedQuantity":429.19,"scheduleQuantity":150,"volumes":[0,0,0,0,0,0,0,0,0,0,0,150],"matchRule":"exact","matchConfidence":1,"contractRate":102.62774024703354,"currentRate":0,"actualRate":0,"rate":102.62774024703354},{"sourceKind":"ksg","sourceRow":133,"sourceKey":"auto-49c0fc83","workId":"","name":"Монтаж устройств пожаротушения","unit":"шт.","kq1":"","kq2":"KQ-63-07","stableKey":"auto-e0ff0a32","plannedQuantity":444,"scheduleQuantity":71,"volumes":[0,0,0,0,0,0,0,0,0,0,1,70],"matchRule":"exact","matchConfidence":1,"contractRate":112.40982466300838,"currentRate":0,"actualRate":0,"rate":112.40982466300838},{"sourceKind":"ksg","sourceRow":140,"sourceKey":"auto-4c227435","workId":"","name":"Монтаж ворот на зданиях","unit":"м2","kq1":"","kq2":"KQ-66-03","stableKey":"auto-ce4a5583","plannedQuantity":130.27,"scheduleQuantity":130.27,"volumes":[0,0,0,0,0,0,0,0,0,0,0,130.27],"matchRule":"exact","matchConfidence":1,"contractRate":668.4550169417147,"currentRate":0,"actualRate":0,"rate":668.4550169417147},{"sourceKind":"ksg","sourceRow":142,"sourceKey":"auto-62427667","workId":"","name":"Утепление кровли","unit":"м3","kq1":"","kq2":"KQ-67-02","stableKey":"auto-57e5e800","plannedQuantity":908.22,"scheduleQuantity":807,"volumes":[0,0,0,0,0,0,0,0,0,0,175.51,631.49],"matchRule":"exact","matchConfidence":1,"contractRate":289.11009004989,"currentRate":0,"actualRate":0,"rate":289.11009004989},{"sourceKind":"ksg","sourceRow":144,"sourceKey":"auto-fed4e6b1","workId":"","name":"Устройство покрытий кровли из ПВХ мембраны или наплавляемых материалов","unit":"м2","kq1":"","kq2":"KQ-67-04","stableKey":"auto-41b795bd","plannedQuantity":6098.22,"scheduleQuantity":1787.5124999999998,"volumes":[0,0,0,0,0,0,0,0,0,0,350.61,1436.9025],"matchRule":"exact","matchConfidence":1,"contractRate":41.96132846302087,"currentRate":0,"actualRate":0,"rate":41.96132846302087},{"sourceKind":"ksg","sourceRow":148,"sourceKey":"auto-01a14fbe","workId":"","name":"Устройство перильного ограждения кровли","unit":"м","kq1":"","kq2":"KQ-67-08","stableKey":"auto-6d6ef63d","plannedQuantity":49.02,"scheduleQuantity":49.02,"volumes":[0,0,0,0,0,0,0,0,0,0,0,49.02],"matchRule":"exact","matchConfidence":1,"contractRate":57.42203420039396,"currentRate":0,"actualRate":0,"rate":57.42203420039396},{"sourceKind":"ksg","sourceRow":151,"sourceKey":"auto-da4087ff","workId":"","name":"Устройство вентилируемых фасадов с облицовкой","unit":"м2","kq1":"","kq2":"KQ-68-03","stableKey":"auto-4c96423d","plannedQuantity":1891,"scheduleQuantity":1114.46,"volumes":[0,0,0,0,0,0,0,0,0,0,332.9,781.56],"matchRule":"exact","matchConfidence":1,"contractRate":150.19983822095634,"currentRate":0,"actualRate":0,"rate":150.19983822095634},{"sourceKind":"ksg","sourceRow":156,"sourceKey":"auto-d1b34713","workId":"","name":"Отделка стен","unit":"м2","kq1":"","kq2":"KQ-69-02","stableKey":"auto-d42fdda0","plannedQuantity":1826.5,"scheduleQuantity":793.0633333333334,"volumes":[0,0,0,0,0,0,0,0,0,166.99,313.0366666666667,313.0366666666667],"matchRule":"exact","matchConfidence":1,"contractRate":138.05006799882244,"currentRate":0,"actualRate":0,"rate":138.05006799882244},{"sourceKind":"ksg","sourceRow":160,"sourceKey":"auto-84b7b315","workId":"","name":"Устройство фальшпола","unit":"м2","kq1":"","kq2":"KQ-69-06","stableKey":"auto-8bece68c","plannedQuantity":301.6,"scheduleQuantity":138.93333333333334,"volumes":[0,0,0,0,0,0,0,0,0,0,64.8,74.13333333333334],"matchRule":"exact","matchConfidence":1,"contractRate":218.12757294753376,"currentRate":0,"actualRate":0,"rate":218.12757294753376},{"sourceKind":"ksg","sourceRow":163,"sourceKey":"auto-df8ff845","workId":"","name":"Устройство щебеночных оснований и покрытий","unit":"м3","kq1":"","kq2":"KQ-71-02","stableKey":"auto-2af92db9","plannedQuantity":1174.96,"scheduleQuantity":1163.33,"volumes":[0,0,0,0,0,0.18,0,273.43,889.72,0,0,0],"matchRule":"exact","matchConfidence":1,"contractRate":83.38711268042097,"currentRate":0,"actualRate":0,"rate":83.38711268042097},{"sourceKind":"ksg","sourceRow":166,"sourceKey":"auto-f23502e1","workId":"","name":"Устройство элементов обеспечения БДД","unit":"шт.","kq1":"","kq2":"KQ-71-10","stableKey":"auto-b2e363f6","plannedQuantity":6,"scheduleQuantity":3,"volumes":[0,0,0,0,0,0,0,0,0,0,3,0],"matchRule":"exact","matchConfidence":1,"contractRate":133.063594445712,"currentRate":0,"actualRate":0,"rate":133.063594445712}],"revenueBasis":"ksg","actualThroughMonth":0,"primaryIdentityConfirmed":false,"workSourceMeta":{"sourceContractNumber":"4700134128-B","boqFile":"data/contractors/c1/sources/scenario-b/boq.xlsx","ksgFile":"data/contractors/c1/sources/scenario-b/ksg.xlsx","sourcePaths":{"boq":"data/contractors/c1/sources/scenario-b/boq.xlsx","ksg":"data/contractors/c1/sources/scenario-b/ksg.xlsx","personnel":"data/contractors/c1/sourc</t>
        </is>
      </c>
    </row>
    <row r="14">
      <c r="A14" t="inlineStr">
        <is>
          <t>es/scenario-b/personnel.xlsx","equipment":"data/contractors/c1/sources/scenario-b/equipment.xlsx","primary_documents":"data/sources/primary_documents.xlsx","payments":"data/sources/payments.xlsx","factoring":"data/sources/factoring.xlsx"},"boqRows":376,"kq2Rows":62,"ksgRows":53,"matchedRows":53,"unmatchedRows":0,"primaryRows":0,"bankRows":0,"factoringRows":0,"primarySourceContract":"4700134128-B","bankSourceContract":"4700134128-B","blockers":[],"warnings":["Расчётный договор: факт 0, поиск в первичке и платежах настроен по номеру 4700134128-B"],"loadedAt":"2026-09-24T12:28:33.261Z","scenarioProvenance":{"originalContract":"4700134128","scenarioContract":"4700134128-B","selectedCodes":62,"eligibleCodes":124,"boqRows":376,"ksgRows":62,"originalStartUnchanged":true,"shiftMonths":3,"personnelScale":0.4571472491989384}},"personnelCategories":{"direct":[{"sourceRow":25,"rate":1875,"currency":"USD","insurance":0.8999999999999999,"months":[0,0,0,24.407981751347894,33.623980539368354,36.7798889275025,38.57569502498856,40.731104590664465,43.36980905574847,50.27538418835478,81.89072901584397,126.52026926240173]},{"sourceRow":26,"rate":2000,"currency":"USD","insurance":30.9,"months":[0,0,0,0.08940652656171391,0.12316476388047018,0.13472486786630952,0.1413029121794453,0.14919818531378926,0.15886376943497607,0.18415891644086002,0.2999660403510768,0.46344420975238726]},{"sourceRow":27,"rate":1875,"currency":"USD","insurance":30.9,"months":[0,0,0,11.17581582021424,15.395595485058776,16.84060848328869,17.662864022430664,18.64977316422366,19.85797117937201,23.019864555107503,37.495755043884614,57.93052621904842]},{"sourceRow":28,"rate":1875,"currency":"USD","insurance":30.9,"months":[0,0,0,51.14053319330035,70.45024493962894,77.06262441952904,80.8252657666427,85.34136199948746,90.87007611680632,105.33890020417192,171.58057508081598,265.09008797836555]},{"sourceRow":29,"rate":375,"currency":"USD","insurance":30.9,"months":[0,0,0,32.77924843651235,11.224860970249992,6.38728102805483,7.6663102134479955,9.385282181672412,24.561587742713293,112.44871731682056,158.73730248867244,23.54815167777958]}],"indirect":[{"sourceRow":31,"rate":2718.75,"currency":"USD","insurance":0.8999999999999999,"months":[0,0,0,6.564171498350223,7.916705771742812,7.40371893919365,6.691919429552352,6.971127700591121,7.4468712504023955,7.6104014198593015,10.00327687022927,12.729114416448827]},{"sourceRow":32,"rate":1631.25,"currency":"USD","insurance":30.9,"months":[0,0,0,6.966059549269625,8.401402043482168,7.85700785383816,7.101628782382089,7.397931437362005,7.902802143284175,8.07634436393232,10.615722392896368,13.508447952149774]},{"sourceRow":33,"rate":2718.75,"currency":"USD","insurance":30.9,"months":[0,0,0,9.645313222065635,11.63271052174454,10.87893395146822,9.833024467913662,10.243289682501239,10.942341429162704,11.182630657752444,14.698692544010356,18.704004856822763]},{"sourceRow":34,"rate":1631.25,"currency":"USD","insurance":30.9,"months":[0,0,0,10.449089323904438,12.602103065223254,11.78551178075724,10.652443173573133,11.09689715604301,11.854203214926263,12.114516545898482,15.923583589344553,20.262671928224663]},{"sourceRow":35,"rate":1631.25,"currency":"USD","insurance":30.9,"months":[0,0,0,26.792536727960098,32.313084782623726,30.219260976300614,27.313956855315727,28.453582451392332,30.395392858785296,31.06286293820124,40.82970151113988,51.955569046729906]}]},"costSourceBasis":{"scaffoldPeople":true,"livingPeople":true,"projectMaterialsForecast":true,"materialMarkupPercent":10,"sourceExcel2026":true},"materialForecastByKq":{"KQ-01-01":[0,0,0,0,0,0,0,0,0,0,0,0],"KQ-03-08":[0,0,0,0,0,0,0,0,0,0,0,0],"KQ-03-13":[0,0,0,0,0,0,0,0,0,0,0,0],"KQ-03-16":[0,0,0,0,0,0,0,0,0,0,0,0],"KQ-03-18":[0,0,0,0,0,0,0,0,0,0,0,0],"KQ-03-26":[0,0,0,0,0,0,0,0,0,0,0,0],"KQ-05-01":[0,0,0,0,0,0,0,0,0,0,0,0],"KQ-12-01":[13933.875,14072.625,17909.1875,6267.375,4243.1875,1137.3125,600.0625,5481.0625,6098,2123.625,1861.3125,271.6875],"KQ-12-03":[0,0,0,0,0,1334.375,2653.125,1352.125,949.9375,198.1875,493.8125,108.5625],"KQ-16-01":[0,0,236.24999999999997,60.75,40.5,13663.125,29041.5,25299.75,30680.999999999996,31209.749999999996,38989.49999999999,45569.625],"KQ-20-02":[0,0,0,0,0,0,0,290.06249999999994,74.58749999999999,49.724999999999994,0,0],"KQ-22-01":[0,0,0,0,0,0,0,0,0,0,0,0],"KQ-22-03":[0,0,0,0,0,0,0,0,0,0,0,0],"KQ-23-02":[0,0,0,0,0,0,0,0,0,0,0,0],"KQ-25-01":[0,0,0,0,0,0,0,63278.6,21870.59,12287.49,3926.42,12074.49],"KQ-27-02":[0,0,0,0,0,0,0,0,0,0,0,0],"KQ-27-04":[0,0,0,0,0,0,0,0,0,0,0,0],"KQ-27-10":[0,0,0,0,0,0,0,0,0,0,0,0],"KQ-27-14":[0,0,0,0,0,0,0,0,0,0,0,0],"KQ-28-01":[0,0,0,0,0,0,0,0,0,0,0,0],"KQ-33-01":[0,0,0,0,0,0,0,0,0,0,0,0],"KQ-33-07":[0,0,0,0,0,0,0,0,0,0,0,0],"KQ-34-03":[0,0,0,0,0,0,0,0,0,0,0,0],"KQ-35-02":[0,0,0,0,0,0,0,0,0,0,0,0],"KQ-38-03":[0,0,0,0,0,68.51249999999999,17.6175,11.745,12551.253749999998,3227.4652499999997,19267.247249999997,25848.481499999998],"KQ-40-02":[0,0,0,0,0,0,0,0,0,0,1414,23982.999999999996],"KQ-43-01":[0,0,0,0,0,0,0,0,0,0,0,157.5],"KQ-45-01":[0,0,0,0,0,0,0,0,0,0,0,0],"KQ-46-01":[0,0,0,0,0,0,0,0,0,0,3.5,0.8999999999999999],"KQ-46-03":[0,0,0,0,0,0,0,0,0,0,105,27],"KQ-48-02":[0,0,0,0,0,0,0,0,0,0,0,0],"KQ-48-04":[0,0,0,0,0,0,0,0,0,0,0,0],"KQ-49-01":[0,0,0,0,0,0,0,0,0,0,0,0],"KQ-49-04":[0,0,0,0,0,0,0,0,0,0,0,0],"KQ-51-01":[0,0,0,0,0,0,0,0,98.37187499999999,150.04874999999998,4023.6743749999996,7126.4818749999995],"KQ-55-01":[0,0,0,0,0,0,0,0,0,0,0,0],"KQ-57-01":[0,0,0,0,0,0,0,0,0,0,0,0],"KQ-57-03":[0,0,0,0,0,0,0,0,0,0,0,0],"KQ-59-02":[0,0,0,0,0,0,0,0,0,0,0,0],"KQ-60-02":[0,0,0,0,0,0,0,0,0,0,0,0],"KQ-60-04":[0,0,0,0,0,0,0,0,0,0,0,0],"KQ-62-02":[0,0,0,0,0,0,0,0,0,0,0,0],"KQ-62-05":[0,0,0,0,0,0,0,0,0,0,0,10500],"KQ-63-07":[0,0,0,0,0,0,0,0,0,0,0,0],"KQ-66-03":[0,0,0,0,0,0,0,0,0,0,0,0],"KQ-67-02":[0,0,0,0,0,0,0,0,0,0,12285.699999999999,47363.479999999996],"KQ-67-04":[0,0,0,0,0,0,0,0,0,0,0,0],"KQ-67-08":[0,0,0,0,0,0,0,0,0,0,0,1072.3125],"KQ-68-03":[0,0,0,0,0,0,0,0,0,0,0,0],"KQ-69-02":[0,0,0,0,0,0,0,0,0,730.58125,1557.3991666666666,1846.9441666666667],"KQ-69-06":[0,0,0,0,0,0,0,0,0,0,0,0],"KQ-71-02":[0,0,0,0,0,2.3625,0.6074999999999999,3589.17375,12600.401249999999,3618.0225,2001.87,0],"KQ-71-10":[0,0,0,0,0,0,0,0,0,0,0,0]},"primaryMonthsWithDocuments":[false,false,false,false,false,false,false,false,false,false,false,false],"paymentActualMonths":[false,false,false,false,false,false,false,false,false,false,false,false],"cashFlowBasis":"source_model","kqEstimate":[{"code":"KQ-33-01","name":"Монтаж технологических трубопроводов на эстакаде (стальные), м","unit":"ед.","quantity":27049.596000000143,"laborHours":200119.57998532578,"machineHours":27454.0178276175,"cost":9779513.974465769,"materialsCost":0,"materialsRows":23,"sourceRows":23,"sourceKeys":["auto-154d7732","auto-104d6f53","auto-0f4d6dc0","auto-124d7279","auto-114d70e6","auto-1c4d8237","auto-1b4d80a4","auto-9a508728","auto-76ab0957","auto-75ab07c4","auto-fca38d84","auto-fda38f17","auto-fea390aa","auto-ffa3923d","auto-f8a38738","auto-f9a388cb","auto-faa38a5e","auto-fba38bf1","auto-f4a380ec","auto-f5a3827f","auto-02a5d58d","auto-01a5d3fa","auto-00a5d267"],"stableKey":"auto-dc5998b8","rate":361.54011226140744,"scheduledQuantity":9966.9,"scheduledCost":1801717.0724491107,"quantityVariance":-17082.69600000014,"scheduleRows":1},{"code":"KQ-45-01","name":"Монтаж кабельных лотков, м","unit":"ед.","quantity":29231.435999999994,"laborHours":79543.62746295433,"machineHours":3125.076445177548,"cost":2489102.3061178494,"materialsCost":0,"materialsRows":18,"sourceRows":18,"sourceKeys":["auto-e022e75a","auto-df22e5c7","auto-de22e434","auto-dd22e2a1","auto-dc22e10e","auto-db22df7b","auto-da22dde8","auto-d922dc55","auto-d822dac2","auto-b3d62c84","auto-a6d3d976","auto-a7d3db09","auto-a4d3d650","auto-a5d3d7e3","auto-aad3dfc2","auto-abd3e155","auto-a9d3de2f","auto-aed3e60e"],"stableKey":"auto-5236faa7","rate":85.15155759429163,"scheduledQuantity":17676.136666666665,"scheduledCost":1505150.5694162366,"quantityVariance":-11555.299333333329,"scheduleRows":1},{"code":"KQ-23-02","name":"Монтаж металлоконструкций усиления, т","unit":"ед.","quantity":191.84,"laborHours":60040.71635376319,"machineHours":4683.418249359819,"cost":2125772.354795045,"materialsCost":0,"materialsRows":1,"sourceRows":1,"sourceKeys":["auto-76011e0e"],"stableKey":"auto-093f384e","rate":11080.965152184348,"scheduledQuantity":2.69,"scheduledCost":29807.796259375897,"quantityVariance":-189.15,"scheduleRows":1},{"code":"KQ-48-04","name":"Расключение кабеля КИПиА, шт. (конец кабеля)","unit":"ед.","quantity":12370,"laborHours":58439.160697379586,"machineHours":1863.5657513552171,"cost":1753262.5417062335,"materialsCost":0,"materialsRows":35,"sourceRows":35,"sourceKeys":["auto-670afbf2","auto-620af413","auto-610af280","auto-640af739","auto-630af5a6","auto-6e0b06f7","auto-6d0b0564","auto-f4038b24","auto-f5038cb7","auto-f6038e4a","auto-f7038fdd","auto-f00384d8","auto-f103866b","auto-f20387fe","auto-f3038991","auto-ec037e8c","auto-ed03801f","auto-7a069cad","auto-79069b1a","auto-78069987","auto-770697f4","auto-0573c36e","auto-0673c501","auto-ff73b9fc","auto-0073bb8f","auto-f184ed13","auto-f084eb80","auto-f384f039","auto-f284eea6","auto-f584f35f","auto-f484f1cc","auto-f784f685","auto-f684f4f2","auto-f984f9ab","auto-f884f818"],"stableKey":"auto-3384a3a9","rate":141.735047833972,"scheduledQuantity":575.71,"scheduledCost":81598.28438849603,"quantityVariance":-11794.29,"scheduleRows":1},{"code":"KQ-33-07","name":"Монтаж арматуры технологических трубопроводов, шт.","unit":"ед.","quantity":4072,"laborHours":29091.71247236119,"machineHours":6355.0639200887945,"cost":1592696.0660619645,"materialsCost":0,"materialsRows":37,"sourceRows":37,"sourceKeys":["auto-c5754013","auto-c67541a6","auto-c7754339","auto-c87544cc","auto-c975465f","auto-ca7547f2","auto-cb754985","auto-cc754b18","auto-cd754cab","auto-4a785009","auto-49784e76","auto-48784ce3","auto-47784b50","auto-4e785655","auto-4d7854c2","auto-4c78532f","auto-4b78519c","auto-52785ca1","auto-29f32a9c","auto-28f32909","auto-27f32776","auto-26f325e3","auto-25f32450","auto-34f33bed","auto-33f33a5a","auto-baebc01a","auto-bbebc1ad","auto-b8ebbcf4","auto-b9ebbe87","auto-b6ebb9ce","auto-b7ebbb61","auto-b4ebb6a8","auto-b5ebb83b","auto-b2ebb382","auto-b3ebb515","auto-a0edd5c3","auto-9fedd430"],"stableKey":"auto-e259a22a","rate":391.133611508341,"scheduledQuantity":459.77,"scheduledCost":179831.50056318994,"quantityVariance":-3612.23,"scheduleRows":1},{"code":"KQ-22-03","name":"Монтаж основных металлоконструкций эстакад, т","unit":"ед.","quantity":318.37,"laborHours":21135.19058789225,"machineHours":5226.351667051665,"cost":1123695.6305744587,"materialsCost":0,"materialsRows":2,"sourceRows":2,"sourceKeys":["auto-da6e75d8","auto-db6e776b"],"stableKey":"auto-08c60e0c","rate":3529.527375614721,"scheduledQuantity":39.58,"scheduledCost":139698.69352683067,"quantityVariance":-278.79,"scheduleRows":1},{"code":"KQ-49-01","name":"Монтаж силового кабеля до 1 кВ, м","unit":"ед.","quantity":77773.30000000002,"laborHours":30769.633024847524,"machineHours":3309.4077540524227,"cost":1079780.0414139472,"materialsCost":0,"materialsRows":27,"sourceRows":27,"sourceKeys":["auto-d3408428","auto-d2408295","auto-d1408102","auto-543d7da4","auto-553d7f37","auto-563d80ca","auto-573d825d","auto-503d7758","auto-513d78eb","auto-523d7a7e","auto-533d7c11","auto-4c3d710c","auto-4d3d729f","auto-4e3b359b","auto-4d3b3408","auto-503b38c1","auto-2699b5a4","auto-2799b737","auto-18976103","auto-17975f70","auto-1a976429","auto-19976296","auto-1c97674f","auto-1b9765bc","auto-1e976a75","auto-1d9768e2","auto-20976d9b"],"stableKey":"auto-fa5031ab","rate":13.883685550361719,"scheduledQuantity":27647.364999999998,"scheduledCost":383847.3219560763,"quantityVariance":-50125.93500000002,"scheduleRows":1},{"code":"KQ-40-02","name":"Тепловая изоляция технологических трубопроводов, м2","unit":"ед.","quantity":6243.509999999998,"laborHours":40633.90342536783,"machineHours":851.1090348157868,"cost":1007646.1957656067,"materialsCost":0,"materialsRows":6,"sourceRows":6,"sourceKeys":["auto-8e976478","auto-91976931","auto-9097679e","auto-2b331368","auto-2c3314fb","auto-29354ed9"],"stableKey":"auto-8f6d3227","rate":161.39097971583405,"scheduledQuantity":357.62,"scheduledCost":57716.64216597658,"quantityVariance":-5885.8899999999985,"scheduleRows":1},{"code":"KQ-38-03","name":"АКЗ металлоконструкций, м2","unit":"ед.","quantity":4431.58,"laborHours":34415.27507917947,"machineHours":885.4314525652794,"cost":956131.7526487475,"materialsCost":0,"materialsRows":4,"sourceRows":4,"sourceKeys":["auto-6073e679","auto-86ab943d","auto-85ab92aa","auto-78ab7e33"],"stableKey":"auto-73d48649","rate":215.75414471785402,"scheduledQuantity":2166.463333333333,"scheduledCost":467423.4435459244,"quantityVariance":-2265.116666666667,"scheduleRows":1},{"code":"KQ-25-01","name":"Монтаж стеновых сэндвич панелей, м2","unit":"ед.","quantity":2511.59,"laborHours":6571.313972640943,"machineHours":2759.6968789860894,"cost":798922.4642247539,"materialsCost":0,"materialsRows":2,"sourceRows":2,"sourceKeys":["auto-a7c6d8a5","auto-7ef9ca98"],"stableKey":"auto-e55d1e2d","rate":318.09430051272454,"scheduledQuantity":2375.88,"scheduledCost":755753.886702172,"quantityVariance":-135.71000000000004,"scheduleRows":1},{"code":"KQ-49-04","name":"Расключение силового кабеля до 1 кВ, шт. (конец кабеля)","unit":"ед.","quantity":7077.400000000001,"laborHours":14065.77189942626,"machineHours":668.7226018132419,"cost":436808.30520549597,"materialsCost":0,"materialsRows":39,"sourceRows":39,"sourceKeys":["auto-c9d3ee20","auto-d0d3f925","auto-cfd3f792","auto-ced3f5ff","auto-cdd3f46c","auto-d4d3ff71","auto-d3d3fdde","auto-c6d1aad0","auto-c7d1ac63","auto-c8d1adf6","auto-c9d1af89","auto-cad1b11c","auto-cbd1b2af","auto-ccd1b442","auto-cdd1b5d5","auto-ced1b768","auto-cfd1b8fb","auto-d8d882eb","auto-d7d88158","auto-dad88611","auto-d9d8847e","auto-dcd88937","auto-dbd887a4","auto-ded88c5d","auto-ddd88aca","auto-d0d87653","auto-e354d4ae","auto-d65281a0","auto-d7528333","auto-d85284c6","auto-d9528659","auto-da5287ec","auto-db52897f","auto-dc528b12","auto-dd528ca5","auto-de528e38","auto-df528fcb","auto-685a233b","auto-675a21a8"],"stableKey":"auto-fd503664","rate":61.718753384787625,"scheduledQuantity":5341.6,"scheduledCost":329676.8930801816,"quantityVariance":-1735.8000000000002,"scheduleRows":1},{"code":"KQ-34-03","name":"Монтаж стальных трубопроводов теплых полов технологических зон, м","unit":"ед.","quantity":3360,"laborHours":13147.049055191574,"machineHours":128.1536603072982,"cost":365956.9212454315,"materialsCost":0,"materialsRows":2,"sourceRows":2,"sourceKeys":["auto-9e22603c","auto-47acda82"],"stableKey":"auto-e34298d5","rate":108.91575037066414,"scheduledQuantity":5031.79,"scheduledCost":548041.1835576041,"quantityVariance":1671.79,"scheduleRows":1},{"code":"KQ-48-02","name":"Монтаж оптического кабеля, м","unit":"ед.","quantity":16017,"laborHours":7128.287996012354,"machineHours":1908.4300442065983,"cost":326967.6402551752,"materialsCost":0,"materialsRows":5,"sourceRows":5,"sourceKeys":["auto-f19e2f5c","auto-f49e3415","auto-1706385d","auto-10062d58","auto-11062eeb"],"stableKey":"auto-3584a6cf","rate":20.413787866340463,"scheduledQuantity":6645,"scheduledCost":135649.62037183237,"quantityVariance":-9372,"scheduleRows":1},{"code":"KQ-16-01","name":"Устройство безусадочной подливки, м3","unit":"ед.","quantity":61.14999999999999,"laborHours":8889.173066095556,"machineHours":616.542733722911,"cost":272405.15699837275,"materialsCost":0,"materialsRows":6,"sourceRows":6,"sourceKeys":["auto-d699f6ac","auto-d799f83f","auto-d499f386","auto-efc7ce43","auto-eec7ccb0","auto-f5c7d7b5"],"stableKey":"auto-71a67987","rate":4454.7041209872905,"scheduledQuantity":125.04,"scheduledCost":557016.2032882508,"quantityVariance":63.890000000000015,"scheduleRows":1},{"code":"KQ-27-02","name":"Монтаж статического колонного и емкостного оборудования, т","unit":"ед.","quantity":146.18999999999997,"laborHours":3754.2065126938405,"machineHours":339.8035406659816,"cost":213169.74666493083,"materialsCost":0,"materialsRows":11,"sourceRows":11,"sourceKeys":["auto-58e9c70b","auto-57e9c578","auto-56e9c3e5","auto-55e9c252","auto-44ebe626","auto-45ebe7b9","auto-a14baf03","auto-a13ca479","auto-9e3c9fc0","auto-a53caac5","auto-a43ca932"],"stableKey":"auto-b1586f52","rate":1458.1691406042196,"scheduledQuantity":128.38,"scheduledCost":187199.7542707697,"quantityVariance":-17.809999999999974,"scheduleRows":1},{"code":"KQ-69-02","name":"Отделка стен, м2","unit":"ед.","quantity":1403.11,"laborHours":5119.184486442122,"machineHours":253.6147846241882,"cost":193699.43090982776,"materialsCost":0,"materialsRows":3,"sourceRows":3,"sourceKeys":["auto-c0a6c2b5","auto-bfa6c122","auto-c2a48744"],"stableKey":"auto-4fd4ab04","rate":138.05006799882244,"scheduledQuantity":793.0633333333334,"scheduledCost":109482.44709403947,"quantityVariance":-610.0466666666665,"scheduleRows":1},{"code":"KQ-64-02","name":"Монтаж стальных трубопроводов внутренних инженерных сетей, м","unit":"ед.","quantity":815.79,"laborHours":4976.549576036042,"machineHours":254.5068443920846,"cost":153771.38699883904,"materialsCost":0,"materialsRows":6,"sourceRows":6,"sourceKeys":["auto-d612684b","auto-d51266b8","auto-d8126b71","auto-d71269de","auto-5b8a12f6","auto-5c8a1489"],"stableKey":"auto-f25745c9","rate":188.49383664771455,"scheduledQuantity":0,"scheduledCost":0,"quantityVariance":-815.79,"scheduleRows":0},{"code":"KQ-69-06","name":"Устройство фальшпола, м2","unit":"ед.","quantity":700,"laborHours":4079.8652356650687,"machineHours":194.67378994122043,"cost":152689.30106327363,"materialsCost":0,"materialsRows":2,"sourceRows":2,"sourceKeys":["auto-e3c0f769","auto-ecc10594"],"stableKey":"auto-4bd4a4b8","rate":218.12757294753376,"scheduledQuantity":138.93333333333334,"scheduledCost":30305.190801510693,"quantityVariance":-561.0666666666666,"scheduleRows":1},{"code":"KQ-35-02","name":"Неразрушающий контроль стыков (все виды, кроме РК), стык","unit":"ед.","quantity":2316.5,"laborHours":2980.810272787914,"machineHours":191.76085212408208,"cost":150869.71597148935,"materialsCost":0,"materialsRows":5,"sourceRows":5,"sourceKeys":["auto-7a83bd9b","auto-7983bc08","auto-270e3c9a","auto-260e3b07","auto-250e3974"],"stableKey":"auto-627a8633","rate":65.12830389444824,"scheduledQuantity":24,"scheduledCost":1563.0792934667577,"quantityVariance":-2292.5,"scheduleRows":1},{"code":"KQ-19-01","name":"Монтаж трубопроводов подземных сетей (стальные), м","unit":"ед.","quantity":391.3,"laborHours":3840.397816833501,"machineHours":600.061622083891,"cost":148539.94394999195,"materialsCost":0,"materialsRows":7,"sourceRows":7,"sourceKeys":["auto-26d4bded","auto-25d4bc5a","auto-20d4b47b","auto-1fd4b2e8","auto-22d4b7a1","auto-21d4b60e","auto-1cd4ae2f"],"stableKey":"auto-769cbd58","rate":379.6062968310553,"scheduledQuantity":0,"scheduledCost":0,"quantityVariance":-391.3,"scheduleRows":0},{"code":"KQ-71-02","name":"Устройство щебеночных оснований и покрытий, м3","unit":"ед.","quantity":1694.5700000000002,"laborHours":1755.9676635621556,"machineHours":981.0673531072596,"cost":141305.29953486097,"materialsCost":0,"materialsRows":4,"sourceRows":4,"sourceKeys":["auto-13342a9e","auto-14342c31","auto-fe82a28d","auto-fd82a0fa"],"stableKey":"auto-4049dd7b","rate":83.38711268042097,"scheduledQuantity":1163.33,"scheduledCost":97006.72979451412,"quantityVariance":-531.2400000000002,"scheduleRows":1},{"code":"KQ-03-13","name":"Демонтаж инженерных и технологических трубопроводов, м","unit":"ед.","quantity":1807.9499999999998,"laborHours":1046.1076819959662,"machineHours":860.8764610286862,"cost":127594.55462912061,"materialsCost":0,"materialsRows":5,"sourceRows":5,"sourceKeys":["auto-b6b6804b","auto-6a3bd6ed","auto-673bd234","auto-683bd3c7","auto-653bcf0e"],"stableKey":"auto-f938800e","rate":70.57416113781942,"scheduledQuantity":2270.11,"scheduledCost":160211.10894057524,"quantityVariance":462.1600000000003,"scheduleRows":1},{"code":"KQ-27-10","name":"Монтаж градирен, т","unit":"ед.","quantity":52,"laborHours":3518.697156083281,"machineHours":52.28555985444002,"cost":127518.3442454961,"materialsCost":0,"materialsRows":1,"sourceRows":1,"sourceKeys":["auto-d358b7f2"],"stableKey":"auto-b55ab435","rate":2452.2758508749253,"scheduledQuantity":1.44,"scheduledCost":3531.277225259892,"quantityVariance":-50.56,"scheduleRows":1},{"code":"KQ-28-01","name":"Монтаж грузоподъемного оборудования, шт.","unit":"ед.","quantity":12,"laborHours":2429.9310552875118,"machineHours":297.59688486059684,"cost":125795.1019594951,"materialsCost":0,"materialsRows":1,"sourceRows":1,"sourceKeys":["auto-1689e31e"],"stableKey":"auto-bb8bb8c0","rate":10482.925163291258,"scheduledQuantity":20,"scheduledCost":209658.50326582516,"quantityVariance":8,"scheduleRows":1},{"code":"KQ-01-01","name":"Демонтаж дорог, площадок и тротуаров, м3","unit":"ед.","quantity":638.9739999999999,"laborHours":3035.964338528466,"machineHours":267.5963653244128,"cost":115142.73573988816,"materialsCost":0,"materialsRows":3,"sourceRows":3,"sourceKeys":["auto-696aafae","auto-9d92045a","auto-108ee7cc"],"stableKey":"auto-41f98617","rate":180.1994067675495,"scheduledQuantity":1718.53,"scheduledCost":309678.08651223686,"quantityVariance":1079.556,"scheduleRows":1},{"code":"KQ-57-03","name":"Монтаж щитового оборудования РУ, ВРУ, шт.","unit":"ед.","quantity":56,"laborHours":2690.3023658487177,"machineHours":388.78837308663293,"cost":101099.27677741033,"materialsCost":0,"materialsRows":7,"sourceRows":7,"sourceKeys":["auto-cc57da76","auto-cd57dc09","auto-ca57d750","auto-cb57d8e3","auto-d057e0c2","auto-cf57df2f","auto-3ca794ba"],"stableKey":"auto-894d88dc","rate":1805.3442281680416,"scheduledQuantity":58.01,"scheduledCost":104728.01867602809,"quantityVariance":2.009999999999998,"scheduleRows":1},{"code":"KQ-68-03","name":"Устройство вентилируемых фасадов с облицовкой, м2","unit":"ед.","quantity":616,"laborHours":2445.246316389977,"machineHours":121.14246312606387,"cost":92523.1003441091,"materialsCost":0,"materialsRows":1,"sourceRows":1,"sourceKeys":["auto-c0f247de"],"stableKey":"auto-6075a4e2","rate":150.19983822095634,"scheduledQuantity":1114.46,"scheduledCost":167391.711703727,"quantityVariance":498.46000000000004,"scheduleRows":1},{"code":"KQ-12-01","name":"Устройство подбетонки, м3","unit":"ед.","quantity":261.27000000000004,"laborHours":2517.493912899533,"machineHours":192.21609016605294,"cost":87182.67313331421,"materialsCost":0,"materialsRows":4,"sourceRows":4,"sourceKeys":["auto-342cccf9","auto-322cc9d3","auto-f5f21082","auto-f3f20d5c"],"stableKey":"auto-0d54dc43","rate":333.6880358759681,"scheduledQuantity":224.13000000000002,"scheduledCost":74789.49948088074,"quantityVariance":-37.140000000000015,"scheduleRows":1},{"code":"KQ-09-02","name":"Шпунтовое ограждение котлованов и траншей, т","unit":"ед.","quantity":71.8,"laborHours":1084.6025356551113,"machineHours":341.6177717633931,"cost":75135.30176957574,"materialsCost":0,"materialsRows":2,"sourceRows":2,"sourceKeys":["auto-fb599a31","auto-8fc6cf1d"],"stableKey":"auto-d97f22f2","rate":1046.4526708854562,"scheduledQuantity":0,"scheduledCost":0,"quantityVariance":-71.8,"scheduleRows":0},{"code":"KQ-27-04","name":"Монтаж теплообменников, холодильников и пароводяных подогревателей, т","unit":"ед.","quantity":30.61,"laborHours":1109.1226473443714,"machineHours":255.13131820026905,"cost":75075.92460749373,"materialsCost":0,"materialsRows":7,"sourceRows":7,"sourceKeys":["auto-f876bbb8","auto-f976bd4b","auto-fe76c52a","auto-ff76c6bd","auto-fc76c204","auto-548a471e","auto-538a458b"],"stableKey":"auto-ab5865e0","rate":2452.660065582938,"scheduledQuantity":47.739999999999995,"scheduledCost":117089.99153092944,"quantityVariance":17.129999999999995,"scheduleRows":1},{"code":"KQ-51-01","name":"Монтаж проводника заземления (провод), м","unit":"ед.","quantity":2176,"laborHours":1936.8592980278527,"machineHours":294.3871143549641,"cost":73759.92508119931,"materialsCost":0,"materialsRows":5,"sourceRows":5,"sourceKeys":["auto-5a9aa673","auto-599aa4e0","auto-5c9aa999","auto-e480876c","auto-e58088ff"],"stableKey":"auto-63a1327c","rate":33.897024393933506,"scheduledQuantity":4699.83,"scheduledCost":159310.2521573405,"quantityVariance":2523.83,"scheduleRows":1},{"code":"KQ-22-01","name":"Монтаж основных металлоконструкций зданий, т","unit":"ед.","quantity":27.119999999999997,"laborHours":1427.8546030536481,"machineHours":353.6940684470103,"cost":72174.89403293362,"materialsCost":0,"materialsRows":1,"sourceRows":1,"sourceKeys":["auto-665b98f2"],"stableKey":"auto-0ac61132","rate":2661.316151656845,"scheduledQuantity":1.86,"scheduledCost":4950.048042081731,"quantityVariance":-25.259999999999998,"scheduleRows":1},{"code":"KQ-66-03","name":"Монтаж ворот на зданиях, м2","unit":"ед.","quantity":98.49,"laborHours":1739.949969928893,"machineHours":86.20065130472965,"cost":65836.13461858948,"materialsCost":0,"materialsRows":1,"sourceRows":1,"sourceKeys":["auto-0d04d597"],"stableKey":"auto-5026f474","rate":668.4550169417147,"scheduledQuantity":130.27,"scheduledCost":87079.63505699718,"quantityVariance":31.780000000000015,"scheduleRows":1},{"code":"KQ-63-07","name":"Монтаж устройств пожаротушения, шт.","unit":"ед.","quantity":431,"laborHours":1291.405665397549,"machineHours":109.3880255112884,"cost":48448.63442975661,"materialsCost":0,"materialsRows":3,"sourceRows":3,"sourceKeys":["auto-f396521e","auto-f296508b","auto-9c7602a4"],"stableKey":"auto-11f0bb61","rate":112.40982466300838,"scheduledQuantity":71,"scheduledCost":7981.097551073595,"quantityVariance":-360,"scheduleRows":1},{"code":"KQ-27-14","name":"Монтаж механических фильтров и циклонов, т","unit":"ед.","quantity":17.457,"laborHours":395.9873268861453,"machineHours":281.78056308878143,"cost":47446.58557356875,"materialsCost":0,"materialsRows":6,"sourceRows":6,"sourceKeys":["auto-76963825","auto-779639b8","auto-78963b4b","auto-75987529","auto-9d3bbaaf","auto-2247c501"],"stableKey":"auto-b15aade9","rate":2717.9117588112936,"scheduledQuantity":14.99,"scheduledCost":40741.49726458129,"quantityVariance":-2.4670000000000005,"scheduleRows":1},{"code":"KQ-03-08","name":"Демонтаж черновой отделки, м2","unit":"ед.","quantity":700,"laborHours":1490.5723563289848,"machineHours":16.561037057967425,"cost":43398.70270085046,"materialsCost":0,"materialsRows":1,"sourceRows":1,"sourceKeys":["auto-fc66d572"],"stableKey":"auto-7a35798a","rate":61.99814671550065,"scheduledQuantity":504.45,"scheduledCost":31274.965110634304,"quantityVariance":-195.55,"scheduleRows":1},{"code":"KQ-20-02","name":"Устройство открытого подземного перехода (футляра), м","unit":"ед.","quantity":58,"laborHours":1134.2072637729984,"machineHours":132.51341350513087,"cost":39630.385148299334,"materialsCost":0,"materialsRows":2,"sourceRows":2,"sourceKeys":["auto-b3a65d45","auto-b2a65bb2"],"stableKey":"auto-681c4841","rate":683.2825025568851,"scheduledQuantity":5.1,"scheduledCost":3484.740763040114,"quantityVariance":-52.9,"scheduleRows":1},{"code":"KQ-62-05","name":"Тепловая изоляция воздуховодов, м2","unit":"ед.","quantity":378,"laborHours":1562.3594168357486,"machineHours":33.39558039446361,"cost":38793.28581337868,"materialsCost":0,"materialsRows":3,"sourceRows":3,"sourceKeys":["auto-4633ad1c","auto-4733aeaf","auto-543601bd"],"stableKey":"auto-4493622a","rate":102.62774024703354,"scheduledQuantity":150,"scheduledCost":15394.161037055032,"quantityVariance":-228,"scheduleRows":1},{"code":"KQ-67-04","name":"Устройство покрытий кровли из ПВХ мембраны или наплавляемых материалов, м2","unit":"ед.","quantity":855.45,"laborHours":948.6724663607251,"machineHours":46.99915853241498,"cost":35895.8184336912,"materialsCost":0,"materialsRows":3,"sourceRows":3,"sourceKeys":["auto-e0cbec6e","auto-dfcbeadb","auto-decbe948"],"stableKey":"auto-b29f25fc","rate":41.96132846302087,"scheduledQuantity":1787.5124999999998,"scheduledCost":75006.39914425559,"quantityVariance":932.0624999999998,"scheduleRows":1},{"code":"KQ-12-03","name":"Утепление строительных конструкций ниже 0, м3","unit":"ед.","quantity":74.1,"laborHours":1139.0102191433916,"machineHours":59.83566432103322,"cost":35741.18806736075,"materialsCost":0,"materialsRows":2,"sourceRows":2,"sourceKeys":["auto-37fb5a30","auto-3c21349f"],"stableKey":"auto-0f54df69","rate":482.33722088206144,"scheduledQuantity":22.919999999999998,"scheduledCost":11055.169102616848,"quantityVariance":-51.17999999999999,"scheduleRows":1},{"code":"KQ-50-01","name":"Монтаж греющего кабеля, м","unit":"ед.","quantity":3375.54,"laborHours":1023.3355439672033,"machineHours":105.7026416474105,"cost":35617.84071969462,"materialsCost":0,"materialsRows":2,"sourceRows":2,"sourceKeys":["auto-607eee5f","auto-0b21381b"],"stableKey":"auto-5800407d","rate":10.551746007955652,"scheduledQuantity":0,"scheduledCost":0,"quantityVariance":-3375.54,"scheduleRows":0},{"code":"KQ-61-02","name":"Монтаж основного оборудования кондиционирования, шт.","unit":"ед.","quantity":6,"laborHours":803.8108769522502,"machineHours":136.21592872573154,"cost":31216.894210433944,"materialsCost":0,"materialsRows":5,"sourceRows":5,"sourceKeys":["auto-7ad3144d","auto-73d30948","auto-74d30adb","auto-b615c8bf","auto-c3181bcd"],"stableKey":"auto-887fcf7c","rate":5202.81570173899,"scheduledQuantity":0,"scheduledCost":0,"quantityVariance":-6,"scheduleRows":0},{"code":"KQ-59-02","name":"Монтаж оконечных и распределительных устройств слаботочных сетей, шт.","unit":"ед.","quantity":485,"laborHours":894.0364595486095,"machineHours":87.53430580720577,"cost":30793.69506767687,"materialsCost":0,"materialsRows":9,"sourceRows":9,"sourceKeys":["auto-e6c2f4ce","auto-e5c2f33b","auto-e4c2f1a8","auto-58bb597f","auto-54bb5333","auto-7e3f38fd","auto-7b3f3444","auto-7c3f35d7","auto-f4967860"],"stableKey":"auto-794912ad","rate":63.49215477871519,"scheduledQuantity":36.97,"scheduledCost":2347.3049621691007,"quantityVariance":-448.03,"scheduleRows":1},{"code":"KQ-60-02","name":"Монтаж импульсных трубок, м","unit":"ед.","quantity":1757,"laborHours":573.440883069007,"machine</t>
        </is>
      </c>
    </row>
    <row r="15">
      <c r="A15" t="inlineStr">
        <is>
          <t>Hours":182.3828300642238,"cost":28244.7656123119,"materialsCost":0,"materialsRows":2,"sourceRows":2,"sourceKeys":["auto-e2ad4f11","auto-f82a599a"],"stableKey":"auto-741d81ed","rate":16.07556380894246,"scheduledQuantity":6,"scheduledCost":96.45338285365474,"quantityVariance":-1751,"scheduleRows":1},{"code":"KQ-60-07","name":"Монтаж мультимедийного оборудования и оргтехники, шт.","unit":"ед.","quantity":28,"laborHours":916.7181874803643,"machineHours":26.483127188615526,"cost":27317.891097582695,"materialsCost":0,"materialsRows":3,"sourceRows":3,"sourceKeys":["auto-522f29be","auto-0aff13d0","auto-17ff2847"],"stableKey":"auto-6f1d7a0e","rate":975.6389677708105,"scheduledQuantity":0,"scheduledCost":0,"quantityVariance":-28,"scheduleRows":0},{"code":"KQ-55-01","name":"Монтаж ИБП, шт.","unit":"ед.","quantity":5,"laborHours":525.6042046960065,"machineHours":105.11526806935612,"cost":21713.538631807794,"materialsCost":0,"materialsRows":4,"sourceRows":4,"sourceKeys":["auto-115ef111","auto-0e5eec58","auto-1e97cd9f","auto-1d97cc0c"],"stableKey":"auto-1e129318","rate":4342.707726361559,"scheduledQuantity":5,"scheduledCost":21713.538631807794,"quantityVariance":0,"scheduleRows":1},{"code":"KQ-60-04","name":"Монтаж оборудования оповещения и связи, шт.","unit":"ед.","quantity":83,"laborHours":436.2995821605115,"machineHours":71.07791996812296,"cost":16935.783344012285,"materialsCost":0,"materialsRows":6,"sourceRows":6,"sourceKeys":["auto-b39b0475","auto-b29b02e2","auto-29936f72","auto-48da1291","auto-45da0dd8","auto-46da0f6b"],"stableKey":"auto-6e1d787b","rate":204.04558245797935,"scheduledQuantity":4,"scheduledCost":816.1823298319174,"quantityVariance":-79,"scheduleRows":1},{"code":"KQ-58-02","name":"Монтаж щитового оборудования телекоммуникационных сетей, шт.","unit":"ед.","quantity":2,"laborHours":451.6040683845305,"machineHours":40.537336197208404,"cost":15307.282996383792,"materialsCost":0,"materialsRows":8,"sourceRows":8,"sourceKeys":["auto-77e06197","auto-72e059b8","auto-73e05b4b","auto-74e05cde","auto-2c869a28","auto-bd0511e9","auto-ba050d30","auto-bb050ec3"],"stableKey":"auto-8dab603c","rate":7653.641498191896,"scheduledQuantity":0,"scheduledCost":0,"quantityVariance":-2,"scheduleRows":0},{"code":"KQ-05-01","name":"Расчистка и планировка площадки строительства, м2","unit":"ед.","quantity":1525,"laborHours":360.813149746302,"machineHours":17.168206596628796,"cost":12010.39658671297,"materialsCost":0,"materialsRows":1,"sourceRows":1,"sourceKeys":["auto-5e03f83f"],"stableKey":"auto-dc6ab453","rate":7.875669892926537,"scheduledQuantity":3446,"scheduledCost":27139.55845102485,"quantityVariance":1921,"scheduleRows":1},{"code":"KQ-67-02","name":"Утепление кровли, м3","unit":"ед.","quantity":41.04,"laborHours":313.5761598904166,"machineHours":15.53519910534819,"cost":11865.078095647485,"materialsCost":0,"materialsRows":1,"sourceRows":1,"sourceKeys":["auto-c1e8640e"],"stableKey":"auto-b09f22d6","rate":289.11009004989,"scheduledQuantity":807,"scheduledCost":233311.84267026122,"quantityVariance":765.96,"scheduleRows":1},{"code":"KQ-57-01","name":"Монтаж малых силовых шкафов, шт.","unit":"ед.","quantity":60,"laborHours":315.3714383934421,"machineHours":20.278786555263288,"cost":10149.363725990594,"materialsCost":0,"materialsRows":2,"sourceRows":2,"sourceKeys":["auto-8f0b5914","auto-b38ef79d"],"stableKey":"auto-8b4d8c02","rate":169.15606209984324,"scheduledQuantity":47,"scheduledCost":7950.3349186926325,"quantityVariance":-13,"scheduleRows":1},{"code":"KQ-62-02","name":"Монтаж вентиляционных клапанов и заслонок, шт.","unit":"ед.","quantity":81,"laborHours":259.8434831996613,"machineHours":30.42047854208993,"cost":9083.794926716497,"materialsCost":0,"materialsRows":14,"sourceRows":14,"sourceKeys":["auto-af1c7cf0","auto-b01c7e83","auto-bd1c92fa","auto-be1c948d","auto-e4ce250e","auto-e5ce26a1","auto-e2ce21e8","auto-e3ce237b","auto-e8ce2b5a","auto-e9ce2ced","auto-e6ce2834","auto-6c3906ec","auto-6d39087f","auto-6e390a12"],"stableKey":"auto-3f935a4b","rate":112.14561637921601,"scheduledQuantity":5,"scheduledCost":560.7280818960801,"quantityVariance":-76,"scheduleRows":1},{"code":"KQ-43-01","name":"Изоляция запорной арматуры термочехлами, шт.","unit":"ед.","quantity":62,"laborHours":227.64056515674272,"machineHours":9.047158810809002,"cost":5961.75970163497,"materialsCost":0,"materialsRows":4,"sourceRows":4,"sourceKeys":["auto-18d778dc","auto-19d77a6f","auto-1ad77c02","auto-1bd77d95"],"stableKey":"auto-955630b1","rate":96.15741454249952,"scheduledQuantity":4,"scheduledCost":384.6296581699981,"quantityVariance":-58,"scheduleRows":1},{"code":"KQ-67-08","name":"Устройство перильного ограждения кровли, м","unit":"ед.","quantity":49.02,"laborHours":74.39167145882281,"machineHours":3.685514320656047,"cost":2814.8281165033122,"materialsCost":0,"materialsRows":1,"sourceRows":1,"sourceKeys":["auto-96d0d3e5"],"stableKey":"auto-b69f2c48","rate":57.42203420039396,"scheduledQuantity":49.02,"scheduledCost":2814.8281165033122,"quantityVariance":0,"scheduleRows":1},{"code":"KQ-46-01","name":"Монтаж пластиковых коробов, м","unit":"ед.","quantity":30,"laborHours":94.75781408091406,"machineHours":1.5120522566728867,"cost":2771.8229814168776,"materialsCost":0,"materialsRows":1,"sourceRows":1,"sourceKeys":["auto-e8185596"],"stableKey":"auto-af63b954","rate":92.3940993805626,"scheduledQuantity":1,"scheduledCost":92.3940993805626,"quantityVariance":-29,"scheduleRows":1},{"code":"KQ-46-03","name":"Монтаж полимерных труб и гофр, м","unit":"ед.","quantity":55,"laborHours":86.13520789773096,"machineHours":3.4452256612430796,"cost":2700.7193107233275,"materialsCost":0,"materialsRows":1,"sourceRows":1,"sourceKeys":["auto-224ce663"],"stableKey":"auto-b163bc7a","rate":49.10398746769686,"scheduledQuantity":12,"scheduledCost":589.2478496123623,"quantityVariance":-43,"scheduleRows":1},{"code":"KQ-03-26","name":"Демонтаж электроустановочных изделий и компонентов КИПиА и слаботочных систем, шт.","unit":"ед.","quantity":22,"laborHours":59.26326409734669,"machineHours":6.4218378520314765,"cost":2384.6873926765634,"materialsCost":0,"materialsRows":2,"sourceRows":2,"sourceKeys":["auto-864c3e52","auto-d1063c25"],"stableKey":"auto-6c30e652","rate":108.39488148529834,"scheduledQuantity":28,"scheduledCost":3035.0566815883535,"quantityVariance":6,"scheduleRows":1},{"code":"KQ-65-02","name":"Монтаж радиаторов, конвекторов и регистров, шт.","unit":"ед.","quantity":10,"laborHours":47.703973732066686,"machineHours":2.3633516345851673,"cost":1429.249787306926,"materialsCost":0,"materialsRows":2,"sourceRows":2,"sourceKeys":["auto-5ecb83e1","auto-57cb78dc"],"stableKey":"auto-60b580d8","rate":142.9249787306926,"scheduledQuantity":0,"scheduledCost":0,"quantityVariance":-10,"scheduleRows":0},{"code":"KQ-68-07","name":"Устройство декоративных фасадных конструкций, м2","unit":"ед.","quantity":4,"laborHours":18.72753972817561,"machineHours":1.6121175913707813,"cost":863.3128041995774,"materialsCost":0,"materialsRows":1,"sourceRows":1,"sourceKeys":["auto-23b45080"],"stableKey":"auto-5c759e96","rate":215.82820104989435,"scheduledQuantity":0,"scheduledCost":0,"quantityVariance":-4,"scheduleRows":0},{"code":"KQ-71-10","name":"Устройство элементов обеспечения БДД, шт.","unit":"ед.","quantity":5,"laborHours":20.89266111599312,"machineHours":2.0701296322459286,"cost":665.3179722285599,"materialsCost":0,"materialsRows":1,"sourceRows":1,"sourceKeys":["auto-5bab5eeb"],"stableKey":"auto-bc46cf18","rate":133.063594445712,"scheduledQuantity":3,"scheduledCost":399.190783337136,"quantityVariance":-2,"scheduleRows":1},{"code":"KQ-03-18","name":"Демонтаж элементов воздухозабора и воздухораспредения, шт.","unit":"ед.","quantity":5,"laborHours":11.101713175559038,"machineHours":1.9051418570443734,"cost":527.0312657506828,"materialsCost":0,"materialsRows":2,"sourceRows":2,"sourceKeys":["auto-83264689","auto-822644f6"],"stableKey":"auto-f03871e3","rate":105.40625315013656,"scheduledQuantity":24,"scheduledCost":2529.7500756032778,"quantityVariance":19,"scheduleRows":1},{"code":"KQ-03-16","name":"Демонтаж отопительных приборов, шт.","unit":"ед.","quantity":2,"laborHours":4.9411788721081145,"machineHours":0.7620567428177494,"cost":224.7485771415027,"materialsCost":0,"materialsRows":1,"sourceRows":1,"sourceKeys":["auto-68728be3"],"stableKey":"auto-fe3887ed","rate":112.37428857075135,"scheduledQuantity":2,"scheduledCost":224.7485771415027,"quantityVariance":0,"scheduleRows":1}],"scenarioDerived":true,"sourcePlan":true,"sourceKqOverrides":false,"expectNoActuals":true,"sourceFiles":{"boq":"data/contractors/c1/sources/scenario-b/boq.xlsx","ksg":"data/contractors/c1/sources/scenario-b/ksg.xlsx","personnel":"data/contractors/c1/sources/scenario-b/personnel.xlsx","equipment":"data/contractors/c1/sources/scenario-b/equipment.xlsx","primary_documents":"data/sources/primary_documents.xlsx","payments":"data/sources/payments.xlsx","factoring":"data/sources/factoring.xlsx"},"sourceCurrency":"USD","openingCash":0,"materialKinds":{}},{"id":"v_scenario_b_2027","name":"Расчётный договор Б 2027","created":"2026-09-22","drivers":{"revenue":[0,0,0,0,0,0,0,0,0,0,0,0],"materials":[0,0,0,0,0,0,0,0,0,0,0,0],"directPeople":[473.5524793473476,410.4754246862433,409.8104156452032,0,0,0,0,0,0,0,0,0],"indirectPeople":[120.22521975800414,112.21823733361639,112.12733525043629,0,0,0,0,0,0,0,0,0],"equipmentHours":[11112.64958315976,9632.44784046648,9616.842363217378,0,0,0,0,0,0,0,0,0],"nrkVolume":[0,0,0,0,0,0,0,0,0,0,0,0],"payments":[0,0,0,0,0,0,0,0,0,0,0,0],"advances":[0,0,0,0,0,0,0,0,0,0,0,0],"advanceOffset":[0,0,0,0,0,0,0,0,0,0,0,0],"factoring":[0,0,0,0,0,0,0,0,0,0,0,0],"guaranteeRate":[0,0,0,0,0,0,0,0,0,0,0,0],"otherRevenue":[0,0,0,0,0,0,0,0,0,0,0,0],"scaffoldPeople":[22.21610722474158,22.180115028199094,16.80552918882265,0,0,0,0,0,0,0,0,0],"laborIntensity":[615.9938063300934,544.8737770480587,538.7432800844622,0,0,0,0,0,0,0,0,0],"passivePeople":[0,0,0,0,0,0,0,0,0,0,0,0],"sourceDays":[31,28,31,30,31,30,31,31,30,31,30,31],"ksgRevenue":[2934281.8809403307,2866115.229216923,2827279.334809033,2514011.4296134734,1500670.0917430557,1297922.0189099477,1393477.105206274,691944.0817899625,302040.9263855317,60498.1455213333,8415.800114078196,0],"ksgMaterialsRevenue":[87096.66129166666,71061.09575,47760.36575,46720.76624999999,130169.27774999998,162757.23924999998,198948.37975,130356.50749999999,61331.124749999995,16791.1215,3089.16,0],"ks2Accepted":[2666012.3704680772,2919021.403827373,2872931.894389264,2831162.9242498223,2545338.220133029,1602004.2255300977,1318196.8261932586,1383921.5965766413,762097.3841315936,341031.24192597484,84652.42360775315,13624.034654803709],"primaryExecuted":[0,0,0,0,0,0,0,0,0,0,0,0],"primaryDeductions":[0,0,0,0,0,0,0,0,0,0,0,0],"primaryAdvanceOffset":[0,0,0,0,0,0,0,0,0,0,0,0],"primaryGuaranteeHold":[0,0,0,0,0,0,0,0,0,0,0,0],"paymentVat":[0,0,0,0,0,0,0,0,0,0,0,0],"advanceVat":[0,0,0,0,0,0,0,0,0,0,0,0],"physicalVolume":[36764.7425,32565.025833333333,36733.0575,28556.32,15579.099999999997,16699.329999999998,9452.349999999999,2313.25,277.48,0,0,0],"auxiliaryPeople":[0,0,0,0,0,0,0,0,0,0,0,0]},"parameters":{"payroll":{"value":1875,"method":"monthly","enabled":true,"lag":0,"cash":true,"vat":false,"rateCurrency":"USD","rateSource":"Исходная модель, Детальная модель!E25","rateNote":"ВКС; прочие категории E26:E29 требуют отдельных драйверов"},"payrollTax":{"value":13,"method":"rate","enabled":true,"lag":0,"cash":true,"vat":false,"rateCurrency":null,"rateSource":"Исходная модель, строка 48","rateNote":"Расчётное допущение приложения; проверьте формулу НДФЛ"},"insurance":{"value":30.9,"method":"rate","enabled":true,"lag":0,"cash":true,"vat":false,"rateCurrency":null,"rateSource":"Исходная модель, Детальная модель!F26:F29","rateNote":"Для ВКС F25 = 0,9%; нужен раздельный персонал"},"vacation":{"value":9.226190476190476,"method":"rate","enabled":true,"lag":0,"cash":false,"vat":false,"rateCurrency":null,"rateSource":"Исходная модель, Детальная модель!F50","rateNote":"Согласованные 8% годового ФОТ/мес.; F50 = 9,22619% на другой базе"},"subcontract":{"value":0,"method":"percentRevenue","enabled":true,"lag":0,"cash":true,"vat":true,"rateCurrency":null,"rateSource":"Исходная модель, Детальная модель!F51","rateNote":"Ставка отсутствует; факт только по первичке"},"equipment":{"value":62.5,"method":"unit","enabled":true,"lag":0,"cash":true,"vat":true,"rateCurrency":"USD","rateSource":"Исходная модель, Детальная модель!F52","rateNote":""},"scaffolding":{"value":0,"method":"manual","enabled":true,"lag":0,"cash":true,"vat":true,"rateCurrency":"USD","rateSource":"Исходная модель, Детальная модель!F53","rateNote":"Ставка отсутствует; факт по первичке"},"scaffoldLabor":{"value":18.75,"method":"unit","enabled":true,"lag":0,"cash":true,"vat":true,"rateCurrency":"USD","rateSource":"Исходная модель, Детальная модель!F54","rateNote":""},"projectMaterials":{"value":10,"method":"materials","enabled":true,"lag":0,"cash":true,"vat":true,"rateCurrency":null,"rateSource":"Исходная модель, Детальная модель!F55","rateNote":"F55=10%; проверить состав базы МТР"},"consumables":{"value":10,"method":"percentPayroll","enabled":true,"lag":0,"cash":true,"vat":true,"rateCurrency":null,"rateSource":"Исходная модель, Детальная модель!F56","rateNote":""},"nrk":{"value":50,"method":"unit","enabled":true,"lag":0,"cash":true,"vat":true,"rateCurrency":"USD","rateSource":"Исходная модель, Детальная модель!F57","rateNote":""},"otherDirect":{"value":0,"method":"manual","enabled":true,"lag":0,"cash":true,"vat":true,"rateCurrency":"USD","rateSource":"Исходная модель, Детальная модель!F58","rateNote":"Ставка отсутствует; факт по первичке"},"indirectPayroll":{"value":2718.75,"method":"monthly","enabled":true,"lag":0,"cash":true,"vat":false,"rateCurrency":"USD","rateSource":"Исходная модель, Детальная модель!E31","rateNote":"ВКС; прочие категории E32:E35 требуют отдельных драйверов"},"indirectTax":{"value":13,"method":"rate","enabled":true,"lag":0,"cash":true,"vat":false,"rateCurrency":null,"rateSource":"Исходная модель, строка 61","rateNote":"Расчётное допущение приложения; проверьте формулу НДФЛ"},"indirectInsurance":{"value":30.9,"method":"rate","enabled":true,"lag":0,"cash":true,"vat":false,"rateCurrency":null,"rateSource":"Исходная модель, Детальная модель!F32:F35","rateNote":"Для ВКС F31 = 0,9%; нужен раздельный персонал"},"indirectVacation":{"value":9.226190476190476,"method":"rate","enabled":true,"lag":0,"cash":false,"vat":false,"rateCurrency":null,"rateSource":"Исходная модель, Детальная модель!F63","rateNote":"Согласованные 8% годового ФОТ/мес.; F63 = 9,22619% на другой базе"},"food":{"value":8.125,"method":"day","enabled":true,"lag":0,"cash":true,"vat":true,"rateCurrency":"USD","rateSource":"Исходная модель, Детальная модель!F64","rateNote":""},"housing":{"value":6.25,"method":"day","enabled":true,"lag":0,"cash":true,"vat":true,"rateCurrency":"USD","rateSource":"Исходная модель, Детальная модель!F65","rateNote":""},"bus":{"value":7991.803278688525,"method":"unit","enabled":true,"lag":0,"cash":true,"vat":true,"rateCurrency":"USD","rateSource":"Исходная модель, Детальная модель!F66","rateNote":""},"car":{"value":3995.9016393442625,"method":"unit","enabled":true,"lag":0,"cash":true,"vat":true,"rateCurrency":"USD","rateSource":"Исходная модель, Детальная модель!F67","rateNote":""},"formwork":{"value":0,"method":"manual","enabled":true,"lag":0,"cash":true,"vat":true,"rateCurrency":"USD","rateSource":"Исходная модель, строка 53","rateNote":"Нет отдельной ставки; факт по первичке"},"ppe":{"value":375,"method":"annualPerPerson","enabled":true,"lag":0,"cash":true,"vat":true,"rateCurrency":"USD","rateSource":"Исходная модель, Детальная модель!F68","rateNote":""},"tickets":{"value":500,"method":"rotation","enabled":true,"lag":0,"cash":true,"vat":true,"rateCurrency":"USD","rateSource":"Исходная модель, Детальная модель!F69","rateNote":""},"permit":{"value":100,"method":"perPerson","enabled":true,"lag":0,"cash":true,"vat":true,"rateCurrency":"USD","rateSource":"Исходная модель, Детальная модель!F70","rateNote":""},"medical":{"value":37.5,"method":"perPerson","enabled":true,"lag":0,"cash":true,"vat":true,"rateCurrency":"USD","rateSource":"Исходная модель, Детальная модель!F71","rateNote":""},"vziz":{"value":20.833333333333336,"method":"annualPerPerson","enabled":true,"lag":0,"cash":true,"vat":true,"rateCurrency":"USD","rateSource":"Исходная модель, Детальная модель!F72","rateNote":""},"office":{"value":3750,"method":"monthly","enabled":true,"lag":0,"cash":true,"vat":true,"rateCurrency":"USD","rateSource":"Исходная модель, Детальная модель!F73","rateNote":""},"warehouse":{"value":10000,"method":"monthly","enabled":true,"lag":0,"cash":true,"vat":true,"rateCurrency":"USD","rateSource":"Исходная модель, Детальная модель!F74","rateNote":""},"internet":{"value":0,"method":"monthly","enabled":true,"lag":0,"cash":true,"vat":true,"rateCurrency":"USD","rateSource":"Исходная модель, строка 74","rateNote":"Нет ставки в исходной модели; первичка"},"waste":{"value":0,"method":"monthly","enabled":true,"lag":0,"cash":true,"vat":true,"rateCurrency":"USD","rateSource":"Исходная модель, строка 74","rateNote":"Нет ставки в исходной модели; первичка"},"safety":{"value":1,"method":"percentPayroll","enabled":true,"lag":0,"cash":true,"vat":true,"rateCurrency":null,"rateSource":"Исходная модель, Детальная модель!F75","rateNote":""},"accident":{"value":62.5,"method":"annualPerPerson","enabled":true,"lag":0,"cash":true,"vat":true,"rateCurrency":"USD","rateSource":"Исходная модель, Детальная модель!F76","rateNote":""},"it":{"value":0,"method":"manual","enabled":true,"lag":0,"cash":true,"vat":true,"rateCurrency":"USD","rateSource":"Исходная модель, строка 77","rateNote":"Нет ставки в исходной модели; первичка"},"containers":{"value":0,"method":"manual","enabled":true,"lag":0,"cash":true,"vat":true,"rateCurrency":"USD","rateSource":"Исходная модель, строка 77","rateNote":"Нет ставки в исходной модели; первичка"},"modularOffice":{"value":0,"method":"manual","enabled":true,"lag":0,"cash":true,"vat":true,"rateCurrency":"USD","rateSource":"Исходная модель, строка 77","rateNote":"Нет ставки в исходной модели; первичка"},"transport":{"value":0,"method":"manual","enabled":true,"lag":0,"cash":true,"vat":true,"rateCurrency":"USD","rateSource":"Исходная модель, строка 77","rateNote":"Нет ставки в исходной модели; первичка"},"otherIndirect":{"value":10,"method":"percentDirect","enabled":true,"lag":0,"cash":true,"vat":true,"rateCurrency":null,"rateSource":"Исходная модель, Детальная модель!F77","rateNote":"Базу прочих косвенных нужно сверить"}},"year":2027,"vatRate":22,"vacationBasis":"source","bindings":{},"manualCosts":{},"manualPayments":{},"dataMode":"imported","currency":"USD","fxRate":80,"fxRateSource":"Исходная модель, Детальная модель!E2; имитационный, подтвердить для договора","workItems":[{"sourceKind":"ksg","sourceRow":5,"sourceKey":"auto-354faac6","workId":"","name":"Демонтаж дорог, площадок и тротуаров","unit":"м3","kq1":"","kq2":"KQ-01-01","stableKey":"auto-c2627ef2","plannedQuantity":2256.46,"scheduleQuantity":24.3,"volumes":[0,0,0,0,0,24.3,0,0,0,0,0,0],"matchRule":"exact","matchConfidence":1,"contractRate":180.1994067675495,"currentRate":0,"actualRate":0,"rate":180.1994067675495},{"sourceKind":"ksg","sourceRow":17,"sourceKey":"auto-66c64f5d","workId":"","name":"Демонтаж инженерных и технологических трубопроводов","unit":"м","kq1":"","kq2":"KQ-03-13","stableKey":"auto-cc0b3eae","plannedQuantity":3490.03,"scheduleQuantity":1219.92,"volumes":[150.5,23.6,0,0,0,274.3,771.52,0,0,0,0,0],"matchRule":"exact","matchConfidence":1,"contractRate":70.57416113781942,"currentRate":0,"actualRate":0,"rate":70.57416113781942},{"sourceKind":"ksg","sourceRow":19,"sourceKey":"auto-7aaf54c0","workId":"","name":"Демонтаж отопительных приборов","unit":"шт.","kq1":"","kq2":"KQ-03-16","stableKey":"auto-0cb17892","plannedQuantity":4,"scheduleQuantity":2,"volumes":[0,0,0,0,0,0,2,0,0,0,0,0],"matchRule":"exact","matchConfidence":1,"contractRate":112.37428857075135,"currentRate":0,"actualRate":0,"rate":112.37428857075135},{"sourceKind":"ksg","sourceRow":21,"sourceKey":"auto-6a260dee","workId":"","name":"Демонтаж элементов воздухозабора и воздухораспредения","unit":"шт.","kq1":"","kq2":"KQ-03-18","stableKey":"auto-e1428e17","plannedQuantity":233,"scheduleQuantity":209,"volumes":[0,0,0,0,0,0,209,0,0,0,0,0],"matchRule":"exact","matchConfidence":1,"contractRate":105.40625315013656,"currentRate":0,"actualRate":0,"rate":105.40625315013656},{"sourceKind":"ksg","sourceRow":24,"sourceKey":"auto-df4c0d7a","workId":"","name":"Демонтаж электроустановочных изделий и компонентов КИПиА и слаботочных систем","unit":"шт.","kq1":"","kq2":"KQ-03-26","stableKey":"auto-eded81fa","plannedQuantity":44,"scheduleQuantity":16,"volumes":[13,0,0,0,0,0,3,0,0,0,0,0],"matchRule":"exact","matchConfidence":1,"contractRate":108.39488148529834,"currentRate":0,"actualRate":0,"rate":108.39488148529834},{"sourceKind":"ksg","sourceRow":31,"sourceKey":"auto-13711ab0","workId":"","name":"Устройство подбетонки","unit":"м3","kq1":"","kq2":"KQ-12-01","stableKey":"auto-12587403","plannedQuantity":332.65,"scheduleQuantity":5.91,"volumes":[0,0,0,0,0,5.91,0,0,0,0,0,0],"matchRule":"exact","matchConfidence":1,"contractRate":333.6880358759681,"currentRate":0,"actualRate":0,"rate":333.6880358759681},{"sourceKind":"ksg","sourceRow":33,"sourceKey":"auto-d73900d6","workId":"","name":"Утепление строительных конструкций ниже 0","unit":"м3","kq1":"","kq2":"KQ-12-03","stableKey":"auto-02074cc8","plannedQuantity":24.07,"scheduleQuantity":1.14,"volumes":[0,0,0,0,0,1.14,0,0,0,0,0,0],"matchRule":"exact","matchConfidence":1,"contractRate":482.33722088206144,"currentRate":0,"actualRate":0,"rate":482.33722088206144},{"sourceKind":"ksg","sourceRow":36,"sourceKey":"auto-11df3fa2","workId":"","name":"Устройство безусадочной подливки","unit":"м3","kq1":"","kq2":"KQ-16-01","stableKey":"auto-f7db543f","plannedQuantity":129.58,"scheduleQuantity":4.54,"volumes":[3.32,0,0,0,0,1.22,0,0,0,0,0,0],"matchRule":"exact","matchConfidence":1,"contractRate":4454.7041209872905,"currentRate":0,"actualRate":0,"rate":4454.7041209872905},{"sourceKind":"ksg","sourceRow":38,"sourceKey":"auto-afcab067","workId":"","name":"Монтаж трубопроводов подземных сетей (пластиковые)","unit":"м","kq1":"","kq2":"KQ-19-01","stableKey":"auto-330d0363","plannedQuantity":9,"scheduleQuantity":9,"volumes":[3,0,6,0,0,0,0,0,0,0,0,0],"matchRule":"exact","matchConfidence":1,"contractRate":379.6062968310553,"currentRate":0,"actualRate":0,"rate":379.6062968310553},{"sourceKind":"ksg","sourceRow":46,"sourceKey":"auto-3fb3ca7a","workId":"","name":"Монтаж металлоконструкций усиления","unit":"т","kq1":"","kq2":"KQ-23-02","stableKey":"auto-43630209","plannedQuantity":4.16,"scheduleQuantity":1.47,"volumes":[1.47,0,0,0,0,0,0,0,0,0,0,0],"matchRule":"exact","matchConfidence":1,"contractRate":11080.965152184348,"currentRate":0,"actualRate":0,"rate":11080.965152184348},{"sourceKind":"ksg","sourceRow":48,"sourceKey":"auto-b9205e37","workId":"","name":"Монтаж стеновых сэндвич панелей","unit":"м2","kq1":"","kq2":"KQ-25-01","stableKey":"auto-06aa4a3e","plannedQuantity":2545.4,"scheduleQuantity":169.52,"volumes":[84.76,84.76,0,0,0,0,0,0,0,0,0,0],"matchRule":"exact","matchConfidence":1,"contractRate":318.09430051272454,"currentRate":0,"actualRate":0,"rate":318.09430051272454},{"sourceKind":"ksg","sourceRow":51,"sourceKey":"auto-c9a00781","workId":"","name":"Монтаж статического колонного и емкостного оборудования","unit":"т","kq1":"","kq2":"KQ-27-02","stableKey":"auto-598d25d1","plannedQuantity":133.08,"scheduleQuantity":7.85,"volumes":[4.38,3.47,0,0,0,0,0,0,0,0,0,0],"matchRule":"exact","matchConfidence":1,"contractRate":1458.1691406042196,"currentRate":0,"actualRate":0,"rate":1458.1691406042196},{"sourceKind":"ksg","sourceRow":55,"sourceKey":"auto-de588ea3","workId":"","name":"Монтаж градирен","unit":"т","kq1":"","kq2":"KQ-27-10","stableKey":"auto-65656144","plannedQuantity":27.84,"scheduleQuantity":26.4,"volumes":[9.72,9,7.68,0,0,0,0,0,0,0,0,0],"matchRule":"exact","matchConfidence":1,"contractRate":2452.2758508749253,"currentRate":0,"actualRate":0,"rate":2452.2758508749253},{"sourceKind":"ksg","sourceRow":63,"sourceKey":"auto-d12da252","workId":"","name":"Монтаж технологических трубопроводов обвязки этажерок и структур (стальные)","unit":"м","kq1":"","kq2":"KQ-33-01","stableKey":"auto-a0558f66","plannedQuantity":32995.4,"scheduleQuantity":23052.579999999998,"volumes":[5662.71,5770.54,5519.22,3966.62,763.17,1014.97,355.35,0,0,0,0,0],"matchRule":"exact","matchConfidence":1,"contractRate":180.7700561307037,"currentRate":0,"actualRate":0,"rate":180.7700561307037,"originalKq2":"KQ-33-01","rateSource":"KQ KQ-33-01 × 50%"},{"sourceKind":"ksg","sourceRow":65,"sourceKey":"auto-e11b738b","workId":"","name":"Монтаж арматуры технологических трубопроводов","unit":"шт.","kq1":"","kq2":"KQ-33-07","stableKey":"auto-13df87be","plannedQuantity":7250,"scheduleQuantity":6790.2300000000005,"volumes":[1050.3,1222.8,1574.19,2413.39,183.28,178.63,167.64,0,0,0,0,0],"matchRule":"exact","matchConfidence":1,"contractRate":391.133611508341,"currentRate":0,"actualRate":0,"rate":391.133611508341},{"sourceKind":"ksg","sourceRow":71,"sourceKey":"auto-fed60791","workId":"","name":"Монтаж стальных трубопроводов теплых полов технологических зон","unit":"м","kq1":"","kq2":"KQ-34-03","stableKey":"auto-98d8e61d","plannedQuantity":5159.2,"scheduleQuantity":127.4,"volumes":[10,0,0,0,0,15.29,102.11,0,0,0,0,0],"matchRule":"exact","matchConfidence":1,"contractRate":108.91575037066414,"currentRate":0,"actualRate":0,"rate":108.91575037066414},{"sourceKind":"ksg","sourceRow":73,"sourceKey":"auto-f2158a7a","workId":"","name":"Неразрушающий контроль стыков (все виды, кроме РК)","unit":"стык","kq1":"","kq2":"KQ-35-02","stableKey":"auto-38cabb87","plannedQuantity":85,"scheduleQuantity":61,"volumes":[1,12,5,0,39,0,4,0,0,0,0,0],"matchRule":"exact","matchConfidence":1,"contractRate":65.12830389444824,"currentRate":0,"actualRate":0,"rate":65.12830389444824},{"sourceKind":"ksg","sourceRow":77,"sourceKey":"auto-82babb1e","workId":"","name":"АКЗ металлоконструкций","unit":"м2","kq1":"","kq2":"KQ-38-03","stableKey":"auto-a93205de","plannedQuantity":7550.27,"scheduleQuantity":5383.816666666667,"volumes":[469.5333333333333,564.7433333333333,196.31,258.98,146.47,519.1,3115.85,112.83,0,0,0,0],"matchRule":"exact","matchConfidence":1,"contractRate":215.75414471785402,"currentRate":0,"actualRate":0,"rate":215.75414471785402},{"sourceKind":"ksg","sourceRow":81,"sourceKey":"auto-9d51ccb3","workId":"","name":"Тепловая изоляция технологических трубопроводов","unit":"м2","kq1":"","kq2":"KQ-40-02","stableKey":"auto-fbf2aa72","plannedQuantity":6444.81,"scheduleQuantity":6087.170000000001,"volumes":[59.66,49.29,320.62,360.54,1610.57,1597.92,982.5,848.64,257.43,0,0,0],"matchRule":"exact","matchConfidence":1,"contractRate":161.39097971583405,"currentRate":0,"actualRate":0,"rate":161.39097971583405},{"sourceKind":"ksg","sourceRow":87,"sourceKey":"auto-99ad881d","workId":"","name":"Изоляция запорной арматуры термочехлами","unit":"шт.","kq1":"","kq2":"KQ-43-01","stableKey":"auto-433ac785","plannedQuantity":44,"scheduleQuantity":40,"volumes":[13.48,14.52,12,0,0,0,0,0,0,0,0,0],"matchRule":"exact","matchConfidence":1,"contractRate":96.15741454249952,"currentRate":0,"actualRate":0,"rate":96.15741454249952},{"sourceKind":"ksg","sourceRow":89,"sourceKey":"auto-5bd83bf0","workId":"","name":"Монтаж кабельных лотков","unit":"м","kq1":"","kq2":"KQ-45-01","stableKey":"auto-0d268162","plannedQuantity":30023.01,"scheduleQuantity":12346.873333333333,"volumes":[7055.666666666666,4621.596666666666,373.59,0,0,196.02,0,100,0,0,0,0],"matchRule":"exact","matchConfidence":1,"contractRate":85.15155759429163,"currentRate":0,"actualRate":0,"rate":85.15155759429163},{"sourceKind":"ksg","sourceRow":94,"sourceKey":"auto-622942a2","workId":"","name":"Монтаж полимерных труб и гофр","unit":"м","kq1":"","kq2":"KQ-46-03","stableKey":"auto-73cff391","plannedQuantity":162,"scheduleQuantity":150,"volumes":[150,0,0,0,0,0,0,0,0,0,0,0],"matchRule":"exact","matchConfidence":1,"contractRate":49.10398746769686,"currentRate":0,"actualRate":0,"rate":49.10398746769686},{"sourceKind":"ksg","sourceRow":96,"sourceKey":"auto-d2721bb0","workId":"","name":"Монтаж оптического кабеля","unit":"м","kq1":"","kq2":"KQ-48-02","stableKey":"auto-4ec35368","plannedQuantity":11131,"scheduleQuantity":4486,"volumes":[808,175,2736.22,386.78,380,0,0,0,0,0,0,0],"matchRule":"exact","matchConfidence":1,"contractRate":20.413787866340463,"currentRate":0,"actualRate":0,"rate":20.413787866340463},{"sourceKind":"ksg","sourceRow":98,"sourceKey":"auto-db89d4f9","workId":"","name":"Расключение кабеля КИПиА","unit":"шт. (конец кабеля)","kq1":"","kq2":"KQ-48-04","stableKey":"auto-1b7e2a92","plannedQuantity":9208,"scheduleQuantity":8632.289999999997,"volumes":[297.35,1358.01,2384.24,1817.8,1189.56,1104.11,366.71,94.46,20.05,0,0,0],"matchRule":"exact","matchConfidence":1,"contractRate":141.735047833972,"currentRate":0,"actualRate":0,"rate":141.735047833972},{"sourceKind":"ksg","sourceRow":100,"sourceKey":"auto-5ef4964d","workId":"","name":"Монтаж силового кабеля до 1 кВ","unit":"м","kq1":"","kq2":"KQ-49-01","stableKey":"auto-f9b1607d","plannedQuantity":97842.3,"scheduleQuantity":70194.92499999999,"volumes":[15683.27,15421.33,16188.665,16620.86,5033.12,1247.68,0,0,0,0,0,0],"matchRule":"exact","matchConfidence":1,"contractRate":13.883685550361719,"currentRate":0,"actualRate":0,"rate":13.883685550361719},{"sourceKind":"ksg","sourceRow":102,"sourceKey":"auto-6924d311","workId":"","name":"Расключение силового кабеля до 1 кВ","unit":"шт. (конец кабеля)","kq1":"","kq2":"KQ-49-04","stableKey":"auto-01e1e89c","plannedQuantity":9090,"scheduleQuantity":3748.3999999999996,"volumes":[1147.4,412.59,2064.41,24,8,88,4,0,0,0,0,0],"matchRule":"exact","matchConfidence":1,"contractRate":61.718753384787625,"currentRate":0,"actualRate":0,"rate":61.718753384787625},{</t>
        </is>
      </c>
    </row>
    <row r="16">
      <c r="A16" t="inlineStr">
        <is>
          <t>"sourceKind":"ksg","sourceRow":104,"sourceKey":"auto-41774f1e","workId":"","name":"Монтаж греющего кабеля","unit":"м","kq1":"","kq2":"KQ-50-01","stableKey":"auto-9b4803a6","plannedQuantity":17842,"scheduleQuantity":17842.01,"volumes":[0,0,1113,1632.35,4594.03,8403.64,1621.99,477,0,0,0,0],"matchRule":"exact","matchConfidence":1,"contractRate":10.551746007955652,"currentRate":0,"actualRate":0,"rate":10.551746007955652},{"sourceKind":"ksg","sourceRow":106,"sourceKey":"auto-ae07ba1a","workId":"","name":"Монтаж проводника заземления (провод)","unit":"м","kq1":"","kq2":"KQ-51-01","stableKey":"auto-7b0989df","plannedQuantity":7417.85,"scheduleQuantity":2718.02,"volumes":[1228.02,689,311,414,50,26,0,0,0,0,0,0],"matchRule":"exact","matchConfidence":1,"contractRate":33.897024393933506,"currentRate":0,"actualRate":0,"rate":33.897024393933506},{"sourceKind":"ksg","sourceRow":109,"sourceKey":"auto-903fcce8","workId":"","name":"Монтаж ИБП","unit":"шт.","kq1":"","kq2":"KQ-55-01","stableKey":"auto-7b7fd9f2","plannedQuantity":9,"scheduleQuantity":4,"volumes":[0,0,1,1,2,0,0,0,0,0,0,0],"matchRule":"exact","matchConfidence":1,"contractRate":4342.707726361559,"currentRate":0,"actualRate":0,"rate":4342.707726361559},{"sourceKind":"ksg","sourceRow":112,"sourceKey":"auto-974c475c","workId":"","name":"Монтаж малых силовых шкафов","unit":"шт.","kq1":"","kq2":"KQ-57-01","stableKey":"auto-0b81602b","plannedQuantity":87,"scheduleQuantity":40,"volumes":[0,0,36,0,0,4,0,0,0,0,0,0],"matchRule":"exact","matchConfidence":1,"contractRate":169.15606209984324,"currentRate":0,"actualRate":0,"rate":169.15606209984324},{"sourceKind":"ksg","sourceRow":114,"sourceKey":"auto-7e89ec73","workId":"","name":"Монтаж щитового оборудования РУ, ВРУ","unit":"шт.","kq1":"","kq2":"KQ-57-03","stableKey":"auto-3260498c","plannedQuantity":60,"scheduleQuantity":2,"volumes":[0,0,2,0,0,0,0,0,0,0,0,0],"matchRule":"exact","matchConfidence":1,"contractRate":1805.3442281680416,"currentRate":0,"actualRate":0,"rate":1805.3442281680416},{"sourceKind":"ksg","sourceRow":116,"sourceKey":"auto-d2a1b499","workId":"","name":"Монтаж щитового оборудования телекоммуникационных сетей","unit":"шт.","kq1":"","kq2":"KQ-58-02","stableKey":"auto-94e52093","plannedQuantity":2,"scheduleQuantity":2,"volumes":[0,0,0,1,1,0,0,0,0,0,0,0],"matchRule":"exact","matchConfidence":1,"contractRate":7653.641498191896,"currentRate":0,"actualRate":0,"rate":7653.641498191896},{"sourceKind":"ksg","sourceRow":118,"sourceKey":"auto-24d3a7ff","workId":"","name":"Монтаж оконечных и распределительных устройств слаботочных сетей","unit":"шт.","kq1":"","kq2":"KQ-59-02","stableKey":"auto-59e7d61e","plannedQuantity":601,"scheduleQuantity":564.03,"volumes":[38,153,40.03,177,80,51,5,20,0,0,0,0],"matchRule":"exact","matchConfidence":1,"contractRate":63.49215477871519,"currentRate":0,"actualRate":0,"rate":63.49215477871519},{"sourceKind":"ksg","sourceRow":120,"sourceKey":"auto-22e24298","workId":"","name":"Монтаж импульсных трубок","unit":"м","kq1":"","kq2":"KQ-60-02","stableKey":"auto-35e6164a","plannedQuantity":6083,"scheduleQuantity":6077,"volumes":[51,130,1510,389,1363.9,1787.1,846,0,0,0,0,0],"matchRule":"exact","matchConfidence":1,"contractRate":16.07556380894246,"currentRate":0,"actualRate":0,"rate":16.07556380894246},{"sourceKind":"ksg","sourceRow":122,"sourceKey":"auto-561837e3","workId":"","name":"Монтаж оборудования оповещения и связи","unit":"шт.","kq1":"","kq2":"KQ-60-04","stableKey":"auto-79f94e98","plannedQuantity":60,"scheduleQuantity":56,"volumes":[14,9,8,16,6,3,0,0,0,0,0,0],"matchRule":"exact","matchConfidence":1,"contractRate":204.04558245797935,"currentRate":0,"actualRate":0,"rate":204.04558245797935},{"sourceKind":"ksg","sourceRow":124,"sourceKey":"auto-6372e8f4","workId":"","name":"Монтаж мультимедийного оборудования и оргтехники","unit":"шт.","kq1":"","kq2":"KQ-60-07","stableKey":"auto-a2d83474","plannedQuantity":40,"scheduleQuantity":40,"volumes":[1,3,9,5,22,0,0,0,0,0,0,0],"matchRule":"exact","matchConfidence":1,"contractRate":975.6389677708105,"currentRate":0,"actualRate":0,"rate":975.6389677708105},{"sourceKind":"ksg","sourceRow":126,"sourceKey":"auto-d4084859","workId":"","name":"Монтаж основного оборудования кондиционирования","unit":"шт.","kq1":"","kq2":"KQ-61-02","stableKey":"auto-61797ef8","plannedQuantity":7,"scheduleQuantity":7,"volumes":[5.98,1.02,0,0,0,0,0,0,0,0,0,0],"matchRule":"exact","matchConfidence":1,"contractRate":5202.81570173899,"currentRate":0,"actualRate":0,"rate":5202.81570173899},{"sourceKind":"ksg","sourceRow":128,"sourceKey":"auto-79bcec20","workId":"","name":"Монтаж вентиляционных клапанов и заслонок","unit":"шт.","kq1":"","kq2":"KQ-62-02","stableKey":"auto-f7115d1e","plannedQuantity":195,"scheduleQuantity":190,"volumes":[0,85,0,0,0,0,0,105,0,0,0,0],"matchRule":"exact","matchConfidence":1,"contractRate":112.14561637921601,"currentRate":0,"actualRate":0,"rate":112.14561637921601},{"sourceKind":"ksg","sourceRow":130,"sourceKey":"auto-c3b728cb","workId":"","name":"Тепловая изоляция воздуховодов","unit":"м2","kq1":"","kq2":"KQ-62-05","stableKey":"auto-b611a2bc","plannedQuantity":429.19,"scheduleQuantity":279.19,"volumes":[0,189.19,0,0,0,0,0,90,0,0,0,0],"matchRule":"exact","matchConfidence":1,"contractRate":102.62774024703354,"currentRate":0,"actualRate":0,"rate":102.62774024703354},{"sourceKind":"ksg","sourceRow":133,"sourceKey":"auto-d3b509ce","workId":"","name":"Монтаж устройств пожаротушения","unit":"шт.","kq1":"","kq2":"KQ-63-07","stableKey":"auto-e0ff0a32","plannedQuantity":444,"scheduleQuantity":373,"volumes":[33,0,0,72,104,156,8,0,0,0,0,0],"matchRule":"exact","matchConfidence":1,"contractRate":112.40982466300838,"currentRate":0,"actualRate":0,"rate":112.40982466300838},{"sourceKind":"ksg","sourceRow":135,"sourceKey":"auto-7c9a0e50","workId":"","name":"Монтаж стальных трубопроводов внутренних инженерных сетей","unit":"м","kq1":"","kq2":"KQ-64-02","stableKey":"auto-1dac18e8","plannedQuantity":1523.48,"scheduleQuantity":1523.4799999999998,"volumes":[9.4,42.53,131.55,0,0,0,887.68,452.32,0,0,0,0],"matchRule":"exact","matchConfidence":1,"contractRate":188.49383664771455,"currentRate":0,"actualRate":0,"rate":188.49383664771455},{"sourceKind":"ksg","sourceRow":138,"sourceKey":"auto-3871de96","workId":"","name":"Монтаж радиаторов, конвекторов и регистров","unit":"шт.","kq1":"","kq2":"KQ-65-02","stableKey":"auto-b1113303","plannedQuantity":22,"scheduleQuantity":22,"volumes":[0,9,0,0,0,0,0,13,0,0,0,0],"matchRule":"exact","matchConfidence":1,"contractRate":142.9249787306926,"currentRate":0,"actualRate":0,"rate":142.9249787306926},{"sourceKind":"ksg","sourceRow":142,"sourceKey":"auto-5f4271ae","workId":"","name":"Утепление кровли","unit":"м3","kq1":"","kq2":"KQ-67-02","stableKey":"auto-57e5e800","plannedQuantity":908.22,"scheduleQuantity":101.21,"volumes":[101.21,0,0,0,0,0,0,0,0,0,0,0],"matchRule":"exact","matchConfidence":1,"contractRate":289.11009004989,"currentRate":0,"actualRate":0,"rate":289.11009004989},{"sourceKind":"ksg","sourceRow":144,"sourceKey":"auto-01d4eb6a","workId":"","name":"Устройство покрытий кровли из ПВХ мембраны или наплавляемых материалов","unit":"м2","kq1":"","kq2":"KQ-67-04","stableKey":"auto-41b795bd","plannedQuantity":6098.22,"scheduleQuantity":4310.7074999999995,"volumes":[1436.9025,1436.9025,1436.9025,0,0,0,0,0,0,0,0,0],"matchRule":"exact","matchConfidence":1,"contractRate":41.96132846302087,"currentRate":0,"actualRate":0,"rate":41.96132846302087},{"sourceKind":"ksg","sourceRow":151,"sourceKey":"auto-de408e4b","workId":"","name":"Устройство вентилируемых фасадов с облицовкой","unit":"м2","kq1":"","kq2":"KQ-68-03","stableKey":"auto-4c96423d","plannedQuantity":1891,"scheduleQuantity":776.54,"volumes":[776.54,0,0,0,0,0,0,0,0,0,0,0],"matchRule":"exact","matchConfidence":1,"contractRate":150.19983822095634,"currentRate":0,"actualRate":0,"rate":150.19983822095634},{"sourceKind":"ksg","sourceRow":154,"sourceKey":"auto-e771217a","workId":"","name":"Устройство декоративных фасадных конструкций","unit":"м2","kq1":"","kq2":"KQ-68-07","stableKey":"auto-8c7b024b","plannedQuantity":4,"scheduleQuantity":4,"volumes":[4,0,0,0,0,0,0,0,0,0,0,0],"matchRule":"exact","matchConfidence":1,"contractRate":215.82820104989435,"currentRate":0,"actualRate":0,"rate":215.82820104989435},{"sourceKind":"ksg","sourceRow":156,"sourceKey":"auto-deb35b8a","workId":"","name":"Отделка стен","unit":"м2","kq1":"","kq2":"KQ-69-02","stableKey":"auto-d42fdda0","plannedQuantity":1826.5,"scheduleQuantity":1033.4366666666667,"volumes":[313.0366666666667,0,720.4,0,0,0,0,0,0,0,0,0],"matchRule":"exact","matchConfidence":1,"contractRate":138.05006799882244,"currentRate":0,"actualRate":0,"rate":138.05006799882244},{"sourceKind":"ksg","sourceRow":160,"sourceKey":"auto-fdb49ff9","workId":"","name":"Устройство фальшпола","unit":"м2","kq1":"","kq2":"KQ-69-06","stableKey":"auto-8bece68c","plannedQuantity":301.6,"scheduleQuantity":162.66666666666669,"volumes":[74.13333333333334,74.13333333333334,14.4,0,0,0,0,0,0,0,0,0],"matchRule":"exact","matchConfidence":1,"contractRate":218.12757294753376,"currentRate":0,"actualRate":0,"rate":218.12757294753376},{"sourceKind":"ksg","sourceRow":163,"sourceKey":"auto-5c92fba3","workId":"","name":"Устройство щебеночных оснований и покрытий","unit":"м3","kq1":"","kq2":"KQ-71-02","stableKey":"auto-2af92db9","plannedQuantity":1174.96,"scheduleQuantity":11.63,"volumes":[0,0,11.63,0,0,0,0,0,0,0,0,0],"matchRule":"exact","matchConfidence":1,"contractRate":83.38711268042097,"currentRate":0,"actualRate":0,"rate":83.38711268042097},{"sourceKind":"ksg","sourceRow":166,"sourceKey":"auto-7331fc5d","workId":"","name":"Устройство элементов обеспечения БДД","unit":"шт.","kq1":"","kq2":"KQ-71-10","stableKey":"auto-b2e363f6","plannedQuantity":6,"scheduleQuantity":3,"volumes":[0,0,0,0,3,0,0,0,0,0,0,0],"matchRule":"exact","matchConfidence":1,"contractRate":133.063594445712,"currentRate":0,"actualRate":0,"rate":133.063594445712}],"revenueBasis":"ksg","actualThroughMonth":0,"primaryIdentityConfirmed":false,"workSourceMeta":{"sourceContractNumber":"4700134128-B","boqFile":"data/contractors/c1/sources/scenario-b/boq.xlsx","ksgFile":"data/contractors/c1/sources/scenario-b/ksg.xlsx","sourcePaths":{"boq":"data/contractors/c1/sources/scenario-b/boq.xlsx","ksg":"data/contractors/c1/sources/scenario-b/ksg.xlsx","personnel":"data/contractors/c1/sources/scenario-b/personnel.xlsx","equipment":"data/contractors/c1/sources/scenario-b/equipment.xlsx","primary_documents":"data/sources/primary_documents.xlsx","payments":"data/sources/payments.xlsx","factoring":"data/sources/factoring.xlsx"},"boqRows":376,"kq2Rows":62,"ksgRows":50,"matchedRows":50,"unmatchedRows":0,"primaryRows":0,"bankRows":0,"factoringRows":0,"primarySourceContract":"4700134128-B","bankSourceContract":"4700134128-B","blockers":[],"warnings":["Расчётный договор: факт 0, поиск в первичке и платежах настроен по номеру 4700134128-B"],"loadedAt":"2026-09-24T12:28:33.278Z","scenarioProvenance":{"originalContract":"4700134128","scenarioContract":"4700134128-B","selectedCodes":62,"eligibleCodes":124,"boqRows":376,"ksgRows":62,"originalStartUnchanged":true,"shiftMonths":3,"personnelScale":0.4571472491989384}},"personnelCategories":{"direct":[{"sourceRow":25,"rate":1875,"currency":"USD","insurance":0.8999999999999999,"months":[133.1409133489453,115.40658181188918,115.21961222568535,0,0,0,0,0,0,0,0,0]},{"sourceRow":26,"rate":2000,"currency":"USD","insurance":30.9,"months":[0.48769565329284,0.42273473191168204,0.42204986163254704,0,0,0,0,0,0,0,0,0]},{"sourceRow":27,"rate":1875,"currency":"USD","insurance":30.9,"months":[60.96195666160501,52.841841488960256,52.75623270406839,0,0,0,0,0,0,0,0,0]},{"sourceRow":28,"rate":1875,"currency":"USD","insurance":30.9,"months":[278.9619136835045,241.8042666534821,241.41252085381694,0,0,0,0,0,0,0,0,0]},{"sourceRow":29,"rate":375,"currency":"USD","insurance":30.9,"months":[0,0,0,0,0,0,0,0,0,0,0,0]}],"indirect":[{"sourceRow":31,"rate":2718.75,"currency":"USD","insurance":0.8999999999999999,"months":[13.062163565725506,12.192225342233264,12.182349062685981,0,0,0,0,0,0,0,0,0]},{"sourceRow":32,"rate":1631.25,"currency":"USD","insurance":30.9,"months":[13.861887865667882,12.938688118288363,12.928207168564716,0,0,0,0,0,0,0,0,0]},{"sourceRow":33,"rate":2718.75,"currency":"USD","insurance":30.9,"months":[19.193383198617067,17.915106625322352,17.900594541089607,0,0,0,0,0,0,0,0,0]},{"sourceRow":34,"rate":1631.25,"currency":"USD","insurance":30.9,"months":[20.792831798501826,19.408032177432545,19.392310752847074,0,0,0,0,0,0,0,0,0]},{"sourceRow":35,"rate":1631.25,"currency":"USD","insurance":30.9,"months":[53.314953329491864,49.76418507033986,49.723873725248914,0,0,0,0,0,0,0,0,0]}]},"costSourceBasis":{"scaffoldPeople":true,"livingPeople":true,"projectMaterialsForecast":true,"materialMarkupPercent":10,"sourceExcel2026":true},"materialForecastByKq":{"KQ-01-01":[0,0,0,0,0,0,0,0,0,0,0,0],"KQ-03-13":[0,0,0,0,0,0,0,0,0,0,0,0],"KQ-03-16":[0,0,0,0,0,0,0,0,0,0,0,0],"KQ-03-18":[0,0,0,0,0,0,0,0,0,0,0,0],"KQ-03-26":[0,0,0,0,0,0,0,0,0,0,0,0],"KQ-12-01":[181.125,0,0,0,0,1292.8125,332.4375,221.625,0,0,0,0],"KQ-12-03":[72.375,0,0,0,0,249.37499999999994,64.12499999999999,42.74999999999999,0,0,0,0],"KQ-16-01":[18165.75,6970.5,747,0,0,1601.25,411.75,274.5,0,0,0,0],"KQ-19-01":[170.625,43.875,370.5,87.75,58.5,0,0,0,0,0,0,0],"KQ-23-02":[0,0,0,0,0,0,0,0,0,0,0,0],"KQ-25-01":[6383.87,5668.58,1271.3999999999999,508.56,0,0,0,0,0,0,0,0],"KQ-27-02":[0,0,0,0,0,0,0,0,0,0,0,0],"KQ-27-10":[0,0,0,0,0,0,0,0,0,0,0,0],"KQ-33-01":[0,0,0,0,0,0,0,0,0,0,0,0],"KQ-33-07":[0,0,0,0,0,0,0,0,0,0,0,0],"KQ-34-03":[0,0,0,0,0,0,0,0,0,0,0,0],"KQ-35-02":[0,0,0,0,0,0,0,0,0,0,0,0],"KQ-38-03":[19541.855249999997,19871.16075,9970.249499999998,9598.19625,5828.712750000001,14202.41175,77358.69225,23696.7525,13304.63475,456.96149999999994,0,0],"KQ-40-02":[10492.159999999998,8573.22,24046.539999999997,31600.44,123077.06,145171.14,116864.4,96264.84,45085.619999999995,14817.42,3089.16,0],"KQ-43-01":[571.275,735.2099999999999,710.5049999999999,219.51,81,0,0,0,0,0,0,0],"KQ-45-01":[0,0,0,0,0,0,0,0,0,0,0,0],"KQ-46-03":[1330.5,337.5,225,0,0,0,0,0,0,0,0,0],"KQ-48-02":[0,0,0,0,0,0,0,0,0,0,0,0],"KQ-48-04":[0,0,0,0,0,0,0,0,0,0,0,0],"KQ-49-01":[0,0,0,0,0,0,0,0,0,0,0,0],"KQ-49-04":[0,0,0,0,0,0,0,0,0,0,0,0],"KQ-50-01":[0,0,0,0,0,0,0,0,0,0,0,0],"KQ-51-01":[4931.881874999999,3240.7525,1528.3825,1338.9375,458.875,240.25,33.375,9.75,0,0,0,0],"KQ-55-01":[0,0,0,0,0,0,0,0,0,0,0,0],"KQ-57-01":[0,0,0,0,0,0,0,0,0,0,0,0],"KQ-57-03":[0,0,0,0,0,0,0,0,0,0,0,0],"KQ-58-02":[0,0,0,0,0,0,0,0,0,0,0,0],"KQ-59-02":[0,0,0,0,0,0,0,0,0,0,0,0],"KQ-60-02":[0,0,0,0,0,0,0,0,0,0,0,0],"KQ-60-04":[0,0,0,0,0,0,0,0,0,0,0,0],"KQ-60-07":[0,0,0,0,0,0,0,0,0,0,0,0],"KQ-61-02":[0,0,0,0,0,0,0,0,0,0,0,0],"KQ-62-02":[0,0,0,0,0,0,0,0,0,0,0,0],"KQ-62-05":[2700,15043.3,3405.42,2270.2799999999997,0,0,0,6300,1620,1080,0,0],"KQ-63-07":[0,0,0,0,0,0,0,0,0,0,0,0],"KQ-64-02":[41.125,196.64374999999998,630.4275,179.89125,98.66250000000001,0,3883.6,2977.54,1174.62,339.24,0,0],"KQ-65-02":[0,393.75,101.25,67.5,0,0,0,568.75,146.25,97.5,0,0],"KQ-67-02":[20557.64,9399.66,1214.52,0,0,0,0,0,0,0,0,0],"KQ-67-04":[0,0,0,0,0,0,0,0,0,0,0,0],"KQ-68-03":[0,0,0,0,0,0,0,0,0,0,0,0],"KQ-68-07":[0,0,0,0,0,0,0,0,0,0,0,0],"KQ-69-02":[1956.4791666666665,586.94375,3386.5275,810.4499999999999,540.3,0,0,0,0,0,0,0],"KQ-69-06":[0,0,0,0,0,0,0,0,0,0,0,0],"KQ-71-02":[0,0,152.64375,39.251250000000006,26.167500000000004,0,0,0,0,0,0,0],"KQ-71-10":[0,0,0,0,0,0,0,0,0,0,0,0]},"primaryMonthsWithDocuments":[false,false,false,false,false,false,false,false,false,false,false,false],"paymentActualMonths":[false,false,false,false,false,false,false,false,false,false,false,false],"cashFlowBasis":"source_model","kqEstimate":[{"code":"KQ-33-01","name":"Монтаж технологических трубопроводов на эстакаде (стальные), м","unit":"ед.","quantity":27049.596000000143,"laborHours":200119.57998532578,"machineHours":27454.0178276175,"cost":9779513.974465769,"materialsCost":0,"materialsRows":23,"sourceRows":23,"sourceKeys":["auto-154d7732","auto-104d6f53","auto-0f4d6dc0","auto-124d7279","auto-114d70e6","auto-1c4d8237","auto-1b4d80a4","auto-9a508728","auto-76ab0957","auto-75ab07c4","auto-fca38d84","auto-fda38f17","auto-fea390aa","auto-ffa3923d","auto-f8a38738","auto-f9a388cb","auto-faa38a5e","auto-fba38bf1","auto-f4a380ec","auto-f5a3827f","auto-02a5d58d","auto-01a5d3fa","auto-00a5d267"],"stableKey":"auto-dc5998b8","rate":361.54011226140744,"scheduledQuantity":23052.579999999998,"scheduledCost":4167216.180557537,"quantityVariance":-3997.016000000145,"scheduleRows":1},{"code":"KQ-45-01","name":"Монтаж кабельных лотков, м","unit":"ед.","quantity":29231.435999999994,"laborHours":79543.62746295433,"machineHours":3125.076445177548,"cost":2489102.3061178494,"materialsCost":0,"materialsRows":18,"sourceRows":18,"sourceKeys":["auto-e022e75a","auto-df22e5c7","auto-de22e434","auto-dd22e2a1","auto-dc22e10e","auto-db22df7b","auto-da22dde8","auto-d922dc55","auto-d822dac2","auto-b3d62c84","auto-a6d3d976","auto-a7d3db09","auto-a4d3d650","auto-a5d3d7e3","auto-aad3dfc2","auto-abd3e155","auto-a9d3de2f","auto-aed3e60e"],"stableKey":"auto-5236faa7","rate":85.15155759429163,"scheduledQuantity":12346.873333333333,"scheduledCost":1051355.4957527567,"quantityVariance":-16884.56266666666,"scheduleRows":1},{"code":"KQ-23-02","name":"Монтаж металлоконструкций усиления, т","unit":"ед.","quantity":191.84,"laborHours":60040.71635376319,"machineHours":4683.418249359819,"cost":2125772.354795045,"materialsCost":0,"materialsRows":1,"sourceRows":1,"sourceKeys":["auto-76011e0e"],"stableKey":"auto-093f384e","rate":11080.965152184348,"scheduledQuantity":1.47,"scheduledCost":16289.018773710992,"quantityVariance":-190.37,"scheduleRows":1},{"code":"KQ-48-04","name":"Расключение кабеля КИПиА, шт. (конец кабеля)","unit":"ед.","quantity":12370,"laborHours":58439.160697379586,"machineHours":1863.5657513552171,"cost":1753262.5417062335,"materialsCost":0,"materialsRows":35,"sourceRows":35,"sourceKeys":["auto-670afbf2","auto-620af413","auto-610af280","auto-640af739","auto-630af5a6","auto-6e0b06f7","auto-6d0b0564","auto-f4038b24","auto-f5038cb7","auto-f6038e4a","auto-f7038fdd","auto-f00384d8","auto-f103866b","auto-f20387fe","auto-f3038991","auto-ec037e8c","auto-ed03801f","auto-7a069cad","auto-79069b1a","auto-78069987","auto-770697f4","auto-0573c36e","auto-0673c501","auto-ff73b9fc","auto-0073bb8f","auto-f184ed13","auto-f084eb80","auto-f384f039","auto-f284eea6","auto-f584f35f","auto-f484f1cc","auto-f784f685","auto-f684f4f2","auto-f984f9ab","auto-f884f818"],"stableKey":"auto-3384a3a9","rate":141.735047833972,"scheduledQuantity":8632.289999999997,"scheduledCost":1223498.0360667177,"quantityVariance":-3737.7100000000028,"scheduleRows":1},{"code":"KQ-33-07","name":"Монтаж арматуры технологических трубопроводов, шт.","unit":"ед.","quantity":4072,"laborHours":29091.71247236119,"machineHours":6355.0639200887945,"cost":1592696.0660619645,"materialsCost":0,"materialsRows":37,"sourceRows":37,"sourceKeys":["auto-c5754013","auto-c67541a6","auto-c7754339","auto-c87544cc","auto-c975465f","auto-ca7547f2","auto-cb754985","auto-cc754b18","auto-cd754cab","auto-4a785009","auto-49784e76","auto-48784ce3","auto-47784b50","auto-4e785655","auto-4d7854c2","auto-4c78532f","auto-4b78519c","auto-52785ca1","auto-29f32a9c","auto-28f32909","auto-27f32776","auto-26f325e3","auto-25f32450","auto-34f33bed","auto-33f33a5a","auto-baebc01a","auto-bbebc1ad","auto-b8ebbcf4","auto-b9ebbe87","auto-b6ebb9ce","auto-b7ebbb61","auto-b4ebb6a8","auto-b5ebb83b","auto-b2ebb382","auto-b3ebb515","auto-a0edd5c3","auto-9fedd430"],"stableKey":"auto-e259a22a","rate":391.133611508341,"scheduledQuantity":6790.2300000000005,"scheduledCost":2655887.1828722823,"quantityVariance":2718.2300000000005,"scheduleRows":1},{"code":"KQ-22-03","name":"Монтаж основных металлоконструкций эстакад, т","unit":"ед.","quantity":318.37,"laborHours":21135.19058789225,"machineHours":5226.351667051665,"cost":1123695.6305744587,"materialsCost":0,"materialsRows":2,"sourceRows":2,"sourceKeys":["auto-da6e75d8","auto-db6e776b"],"stableKey":"auto-08c60e0c","rate":3529.527375614721,"scheduledQuantity":0,"scheduledCost":0,"quantityVariance":-318.37,"scheduleRows":0},{"code":"KQ-49-01","name":"Монтаж силового кабеля до 1 кВ, м","unit":"ед.","quantity":77773.30000000002,"laborHours":30769.633024847524,"machineHours":3309.4077540524227,"cost":1079780.0414139472,"materialsCost":0,"materialsRows":27,"sourceRows":27,"sourceKeys":["auto-d3408428","auto-d2408295","auto-d1408102","auto-543d7da4","auto-553d7f37","auto-563d80ca","auto-573d825d","auto-503d7758","auto-513d78eb","auto-523d7a7e","auto-533d7c11","auto-4c3d710c","auto-4d3d729f","auto-4e3b359b","auto-4d3b3408","auto-503b38c1","auto-2699b5a4","auto-2799b737","auto-18976103","auto-17975f70","auto-1a976429","auto-19976296","auto-1c97674f","auto-1b9765bc","auto-1e976a75","auto-1d9768e2","auto-20976d9b"],"stableKey":"auto-fa5031ab","rate":13.883685550361719,"scheduledQuantity":70194.92499999999,"scheduledCost":974564.2659312245,"quantityVariance":-7578.375000000029,"scheduleRows":1},{"code":"KQ-40-02","name":"Тепловая изоляция технологических трубопроводов, м2","unit":"ед.","quantity":6243.509999999998,"laborHours":40633.90342536783,"machineHours":851.1090348157868,"cost":1007646.1957656067,"materialsCost":0,"materialsRows":6,"sourceRows":6,"sourceKeys":["auto-8e976478","auto-91976931","auto-9097679e","auto-2b331368","auto-2c3314fb","auto-29354ed9"],"stableKey":"auto-8f6d3227","rate":161.39097971583405,"scheduledQuantity":6087.170000000001,"scheduledCost":982414.3299968337,"quantityVariance":-156.33999999999742,"scheduleRows":1},{"code":"KQ-38-03","name":"АКЗ металлоконструкций, м2","unit":"ед.","quantity":4431.58,"laborHours":34415.27507917947,"machineHours":885.4314525652794,"cost":956131.7526487475,"materialsCost":0,"materialsRows":4,"sourceRows":4,"sourceKeys":["auto-6073e679","auto-86ab943d","auto-85ab92aa","auto-78ab7e33"],"stableKey":"auto-73d48649","rate":215.75414471785402,"scheduledQuantity":5383.816666666667,"scheduledCost":1161580.7602343943,"quantityVariance":952.2366666666667,"scheduleRows":1},{"code":"KQ-25-01","name":"Монтаж стеновых сэндвич панелей, м2","unit":"ед.","quantity":2511.59,"laborHours":6571.313972640943,"machineHours":2759.6968789860894,"cost":798922.4642247539,"materialsCost":0,"materialsRows":2,"sourceRows":2,"sourceKeys":["auto-a7c6d8a5","auto-7ef9ca98"],"stableKey":"auto-e55d1e2d","rate":318.09430051272454,"scheduledQuantity":169.52,"scheduledCost":53923.345822917065,"quantityVariance":-2342.07,"scheduleRows":1},{"code":"KQ-49-04","name":"Расключение силового кабеля до 1 кВ, шт. (конец кабеля)","unit":"ед.","quantity":7077.400000000001,"laborHours":14065.77189942626,"machineHours":668.7226018132419,"cost":436808.30520549597,"materialsCost":0,"materialsRows":39,"sourceRows":39,"sourceKeys":["auto-c9d3ee20","auto-d0d3f925","auto-cfd3f792","auto-ced3f5ff","auto-cdd3f46c","auto-d4d3ff71","auto-d3d3fdde","auto-c6d1aad0","auto-c7d1ac63","auto-c8d1adf6","auto-c9d1af89","auto-cad1b11c","auto-cbd1b2af","auto-ccd1b442","auto-cdd1b5d5","auto-ced1b768","auto-cfd1b8fb","auto-d8d882eb","auto-d7d88158","auto-dad88611","auto-d9d8847e","auto-dcd88937","auto-dbd887a4","auto-ded88c5d","auto-ddd88aca","auto-d0d87653","auto-e354d4ae","auto-d65281a0","auto-d7528333","auto-d85284c6","auto-d9528659","auto-da5287ec","auto-db52897f","auto-dc528b12","auto-dd528ca5","auto-de528e38","auto-df528fcb","auto-685a233b","auto-675a21a8"],"stableKey":"auto-fd503664","rate":61.718753384787625,"scheduledQuantity":3748.3999999999996,"scheduledCost":231346.5751875379,"quantityVariance":-3329.000000000001,"scheduleRows":1},{"code":"KQ-34-03","name":"Монтаж стальных трубопроводов теплых полов технологических зон, м","unit":"ед.","quantity":3360,"laborHours":13147.049055191574,"machineHours":128.1536603072982,"cost":365956.9212454315,"materialsCost":0,"materialsRows":2,"sourceRows":2,"sourceKeys":["auto-9e22603c","auto-47acda82"],"stableKey":"auto-e34298d5","rate":108.91575037066414,"scheduledQuantity":127.4,"scheduledCost":13875.866597222612,"quantityVariance":-3232.6,"scheduleRows":1},{"code":"KQ-48-02","name":"Монтаж оптического кабеля, м","unit":"ед.","quantity":16017,"laborHours":7128.287996012354,"machineHours":1908.4300442065983,"cost":326967.6402551752,"materialsCost":0,"materialsRows":5,"sourceRows":5,"sourceKeys":["auto-f19e2f5c","auto-f49e3415","auto-1706385d","auto-10062d58","auto-11062eeb"],"stableKey":"auto-3584a6cf","rate":20.413787866340463,"scheduledQuantity":4486,"scheduledCost":91576.25236840332,"quantityVariance":-11531,"scheduleRows":1},{"code":"KQ-16-01","name":"Устройство безусадочной подливки, м3","unit":"ед.","quantity":61.14999999999999,"laborHours":8889.173066095556,"machineHours":616.542733722911,"cost":272405.15699837275,"materialsCost":0,"materialsRows":6,"sourceRows":6,"sourceKeys":["auto-d699f6ac","auto-d799f83f","auto-d499f386","auto-efc7ce43","auto-eec7ccb0","auto-f5c7d7b5"],"stableKey":"auto-71a67987","rate":4454.7041209872905,"scheduledQuantity":4.54,"scheduledCost":20224.3567092823,"quantityVariance":-56.60999999999999,"scheduleRows":1},{"code":"KQ-27-02","name":"Монтаж статического колонного и емкостного оборудования, т","unit":"ед.","quantity":146.18999999999997,"laborHours":3754.2065126938405,"machineHours":339.8035406659816,"cost":213169.74666493083,"materialsCost":0,"materialsRows":11,"sourceRows":11,"sourceKeys":["auto-58e9c70b","auto-57e9c578","auto-56e9c3e5","auto-55e9c252","auto-44ebe626","auto-45ebe7b9","auto-a14baf03","auto-a13ca479","auto-9e3c9fc0","auto-a53caac5","auto-a43ca932"],"stableKey":"auto-b1586f52","rate":1458.1691406042196,"scheduledQuantity":7.85,"scheduledCost":11446.627753743123,"quantityVariance":-138.33999999999997,"scheduleRows":1},{"code":"KQ-69-02","name":"Отделка стен, м2","unit":"ед.","quantity":1403.11,"laborHours":5119.184486442122,"machineHours":253.6147846241882,"cost":193699.43090982776,"materialsCost":0,"materialsRows":3,"sourceRows":3,"sourceKeys":["auto-c0a6c2b5","auto-bfa6c122","auto-c2a48744"],"stableKey":"auto-4fd4ab04","rate":138.05006799882244,"scheduledQuantity":1033.4366666666667,"scheduledCost":142666.00210580975,"quantityVariance":-369.6733333333332,"scheduleRows":1},{"code":"KQ-64-02","name":"Монтаж стальных трубопроводов внутренних инженерных сетей, м","unit":"ед.","quantity":815.79,"laborHours":4976.549576036042,"machineHours":254.5068443920846,"cost":153771.38699883904,"materialsCost":0,"materialsRows":6,"sourceRows":6,"sourceKeys":["auto-d612684b","auto-d51266b8","auto-d8126b71","auto-d71269de","auto-5b8a12f6","auto-5c8a1489"],"stableKey":"auto-f25745c9","rate":188.49383664771455,"scheduledQuantity":1523.4799999999998,"scheduledCost":287166.5902560601,"quantityVariance":707.6899999999998,"scheduleRows":1},{"code":"KQ-69-06","name":"Устройство фальшпола, м2","unit":"ед.","quantity":700,"laborHours":4079.8652356650687,"machineHours":194.67378994122043,"cost":152689.30106327363,"materialsCost":0,"materialsRows":2,"sourceRows":2,"sourceKeys":["auto-e3c0f769","auto-ecc10594"],"stableKey":"auto-4bd4a4b8","rate":218.12757294753376,"scheduledQuantity":162.66666666666669,"scheduledCost":35482.085199465495,"quantityVariance":-537.3333333333333,"scheduleRows":1},{"code":"KQ-35-02","name":"Неразрушающий контроль стыков (все виды, кроме РК), стык","unit":"ед.","quantity":2316.5,"laborHours":2980.810272787914,"machineHours":191.76085212408208,"cost":150869.71597148935,"materialsCost":0,"materialsRows":5,"sourceRows":5,"sourceKeys":["auto-7a83bd9b","auto-7983bc08","auto-270e3c9a","auto-260e3b07","auto-250e3974"],"stableKey":"auto-627a8633","rate":65.12830389444824,"scheduledQuantity":61,"scheduledCost":3972.8265375613423,"quantityVariance":-2255.5,"scheduleRows":1},{"code":"KQ-19-01","name":"Монтаж трубопроводов подземных сетей (стальные), м","unit":"ед.","quantity":391.3,"laborHours":3840.397816833501,"machineHours":600.061622083891,"cost":148539.94394999195,"materialsCost":0,"materialsRows":7,"sourceRows":7,"sourceKeys":["auto-26d4bded","auto-25d4bc5a","auto-20d4b47b","auto-1fd4b2e8","auto-22d4b7a1","auto-21d4b60e","auto-1cd4ae2f"],"stableKey":"auto-769cbd58","rate":379.6062968310553,"scheduledQuantity":9,"scheduledCost":3416.456671479498,"quantityVariance":-382.3,"scheduleRows":1},{"code":"KQ-71-02","name":"Устройство щебеночных оснований и покрытий, м3","unit":"ед.","quantity":1694.5700000000002,"laborHours":1755.9676635621556,"machineHours":981.0673531072596,"cost":141305.29953486097,"materialsCost":0,"materialsRows":4,"sourceRows":4,"sourceKeys":["auto-13342a9e","auto-14342c31","auto-fe82a28d","auto-fd82a0fa"],"stableKey":"auto-4049dd7b","rate":83.38711268042097,"scheduledQuantity":11.63,"scheduledCost":969.792120473296,"quantityVariance":-1682.94,"scheduleRows":1},{"code":"KQ-03-13","name":"Демонтаж инженерных и технологических трубопроводов, м","unit":"ед.","quantity":1807.9499999999998,"laborHours":1046.1076819959662,"machineHours":860.8764610286862,"cost":127594.55462912061,"materialsCost":0,"materialsRows":5,"sourceRows":5,"sourceKeys":["auto-b6b6804b","auto-6a3bd6ed","auto-673bd234","auto-683bd3c7","auto-653bcf0e"],"stableKey":"auto-f938800e","rate":70.57416113781942,"scheduledQuantity":1219.92,"scheduledCost":86094.83065524866,"quantityVariance":-588.0299999999997,"scheduleRows":1},{"code":"KQ-27-10","name":"Монтаж градирен, т","unit":"ед.","quantity":52,"laborHours":3518.697156083281,"machineHours":52.28555985444002,"cost":127518.3442454961,"materialsCost":0,"materialsRows":1,"sourceRows":1,"sourceKeys":["auto-d358b7f2"],"stableKey":"auto-b55ab435","rate":2452.2758508749253,"scheduledQuantity":26.4,"scheduledCost":64740.08246309802,"quantityVariance":-25.6,"scheduleRows":1},{"code":"KQ-28-01","name":"Монтаж грузоподъемного оборудования, шт.","unit":"ед.","quantity":12,"laborHours":2429.9310552875118,"machineHours":297.59688486059684,"cost":125795.1019594951,"materialsCost":0,"materialsRows":1,"sourceRows":1,"sourceKeys":["auto-1689e31e"],"stableKey":</t>
        </is>
      </c>
    </row>
    <row r="17">
      <c r="A17" t="inlineStr">
        <is>
          <t>"auto-bb8bb8c0","rate":10482.925163291258,"scheduledQuantity":0,"scheduledCost":0,"quantityVariance":-12,"scheduleRows":0},{"code":"KQ-01-01","name":"Демонтаж дорог, площадок и тротуаров, м3","unit":"ед.","quantity":638.9739999999999,"laborHours":3035.964338528466,"machineHours":267.5963653244128,"cost":115142.73573988816,"materialsCost":0,"materialsRows":3,"sourceRows":3,"sourceKeys":["auto-696aafae","auto-9d92045a","auto-108ee7cc"],"stableKey":"auto-41f98617","rate":180.1994067675495,"scheduledQuantity":24.3,"scheduledCost":4378.845584451453,"quantityVariance":-614.674,"scheduleRows":1},{"code":"KQ-57-03","name":"Монтаж щитового оборудования РУ, ВРУ, шт.","unit":"ед.","quantity":56,"laborHours":2690.3023658487177,"machineHours":388.78837308663293,"cost":101099.27677741033,"materialsCost":0,"materialsRows":7,"sourceRows":7,"sourceKeys":["auto-cc57da76","auto-cd57dc09","auto-ca57d750","auto-cb57d8e3","auto-d057e0c2","auto-cf57df2f","auto-3ca794ba"],"stableKey":"auto-894d88dc","rate":1805.3442281680416,"scheduledQuantity":2,"scheduledCost":3610.688456336083,"quantityVariance":-54,"scheduleRows":1},{"code":"KQ-68-03","name":"Устройство вентилируемых фасадов с облицовкой, м2","unit":"ед.","quantity":616,"laborHours":2445.246316389977,"machineHours":121.14246312606387,"cost":92523.1003441091,"materialsCost":0,"materialsRows":1,"sourceRows":1,"sourceKeys":["auto-c0f247de"],"stableKey":"auto-6075a4e2","rate":150.19983822095634,"scheduledQuantity":776.54,"scheduledCost":116636.18237210142,"quantityVariance":160.53999999999996,"scheduleRows":1},{"code":"KQ-12-01","name":"Устройство подбетонки, м3","unit":"ед.","quantity":261.27000000000004,"laborHours":2517.493912899533,"machineHours":192.21609016605294,"cost":87182.67313331421,"materialsCost":0,"materialsRows":4,"sourceRows":4,"sourceKeys":["auto-342cccf9","auto-322cc9d3","auto-f5f21082","auto-f3f20d5c"],"stableKey":"auto-0d54dc43","rate":333.6880358759681,"scheduledQuantity":5.91,"scheduledCost":1972.0962920269717,"quantityVariance":-255.36000000000004,"scheduleRows":1},{"code":"KQ-09-02","name":"Шпунтовое ограждение котлованов и траншей, т","unit":"ед.","quantity":71.8,"laborHours":1084.6025356551113,"machineHours":341.6177717633931,"cost":75135.30176957574,"materialsCost":0,"materialsRows":2,"sourceRows":2,"sourceKeys":["auto-fb599a31","auto-8fc6cf1d"],"stableKey":"auto-d97f22f2","rate":1046.4526708854562,"scheduledQuantity":0,"scheduledCost":0,"quantityVariance":-71.8,"scheduleRows":0},{"code":"KQ-27-04","name":"Монтаж теплообменников, холодильников и пароводяных подогревателей, т","unit":"ед.","quantity":30.61,"laborHours":1109.1226473443714,"machineHours":255.13131820026905,"cost":75075.92460749373,"materialsCost":0,"materialsRows":7,"sourceRows":7,"sourceKeys":["auto-f876bbb8","auto-f976bd4b","auto-fe76c52a","auto-ff76c6bd","auto-fc76c204","auto-548a471e","auto-538a458b"],"stableKey":"auto-ab5865e0","rate":2452.660065582938,"scheduledQuantity":0,"scheduledCost":0,"quantityVariance":-30.61,"scheduleRows":0},{"code":"KQ-51-01","name":"Монтаж проводника заземления (провод), м","unit":"ед.","quantity":2176,"laborHours":1936.8592980278527,"machineHours":294.3871143549641,"cost":73759.92508119931,"materialsCost":0,"materialsRows":5,"sourceRows":5,"sourceKeys":["auto-5a9aa673","auto-599aa4e0","auto-5c9aa999","auto-e480876c","auto-e58088ff"],"stableKey":"auto-63a1327c","rate":33.897024393933506,"scheduledQuantity":2718.02,"scheduledCost":92132.79024319915,"quantityVariance":542.02,"scheduleRows":1},{"code":"KQ-22-01","name":"Монтаж основных металлоконструкций зданий, т","unit":"ед.","quantity":27.119999999999997,"laborHours":1427.8546030536481,"machineHours":353.6940684470103,"cost":72174.89403293362,"materialsCost":0,"materialsRows":1,"sourceRows":1,"sourceKeys":["auto-665b98f2"],"stableKey":"auto-0ac61132","rate":2661.316151656845,"scheduledQuantity":0,"scheduledCost":0,"quantityVariance":-27.119999999999997,"scheduleRows":0},{"code":"KQ-66-03","name":"Монтаж ворот на зданиях, м2","unit":"ед.","quantity":98.49,"laborHours":1739.949969928893,"machineHours":86.20065130472965,"cost":65836.13461858948,"materialsCost":0,"materialsRows":1,"sourceRows":1,"sourceKeys":["auto-0d04d597"],"stableKey":"auto-5026f474","rate":668.4550169417147,"scheduledQuantity":0,"scheduledCost":0,"quantityVariance":-98.49,"scheduleRows":0},{"code":"KQ-63-07","name":"Монтаж устройств пожаротушения, шт.","unit":"ед.","quantity":431,"laborHours":1291.405665397549,"machineHours":109.3880255112884,"cost":48448.63442975661,"materialsCost":0,"materialsRows":3,"sourceRows":3,"sourceKeys":["auto-f396521e","auto-f296508b","auto-9c7602a4"],"stableKey":"auto-11f0bb61","rate":112.40982466300838,"scheduledQuantity":373,"scheduledCost":41928.86459930213,"quantityVariance":-58,"scheduleRows":1},{"code":"KQ-27-14","name":"Монтаж механических фильтров и циклонов, т","unit":"ед.","quantity":17.457,"laborHours":395.9873268861453,"machineHours":281.78056308878143,"cost":47446.58557356875,"materialsCost":0,"materialsRows":6,"sourceRows":6,"sourceKeys":["auto-76963825","auto-779639b8","auto-78963b4b","auto-75987529","auto-9d3bbaaf","auto-2247c501"],"stableKey":"auto-b15aade9","rate":2717.9117588112936,"scheduledQuantity":0,"scheduledCost":0,"quantityVariance":-17.457,"scheduleRows":0},{"code":"KQ-03-08","name":"Демонтаж черновой отделки, м2","unit":"ед.","quantity":700,"laborHours":1490.5723563289848,"machineHours":16.561037057967425,"cost":43398.70270085046,"materialsCost":0,"materialsRows":1,"sourceRows":1,"sourceKeys":["auto-fc66d572"],"stableKey":"auto-7a35798a","rate":61.99814671550065,"scheduledQuantity":0,"scheduledCost":0,"quantityVariance":-700,"scheduleRows":0},{"code":"KQ-20-02","name":"Устройство открытого подземного перехода (футляра), м","unit":"ед.","quantity":58,"laborHours":1134.2072637729984,"machineHours":132.51341350513087,"cost":39630.385148299334,"materialsCost":0,"materialsRows":2,"sourceRows":2,"sourceKeys":["auto-b3a65d45","auto-b2a65bb2"],"stableKey":"auto-681c4841","rate":683.2825025568851,"scheduledQuantity":0,"scheduledCost":0,"quantityVariance":-58,"scheduleRows":0},{"code":"KQ-62-05","name":"Тепловая изоляция воздуховодов, м2","unit":"ед.","quantity":378,"laborHours":1562.3594168357486,"machineHours":33.39558039446361,"cost":38793.28581337868,"materialsCost":0,"materialsRows":3,"sourceRows":3,"sourceKeys":["auto-4633ad1c","auto-4733aeaf","auto-543601bd"],"stableKey":"auto-4493622a","rate":102.62774024703354,"scheduledQuantity":279.19,"scheduledCost":28652.638799569293,"quantityVariance":-98.81,"scheduleRows":1},{"code":"KQ-67-04","name":"Устройство покрытий кровли из ПВХ мембраны или наплавляемых материалов, м2","unit":"ед.","quantity":855.45,"laborHours":948.6724663607251,"machineHours":46.99915853241498,"cost":35895.8184336912,"materialsCost":0,"materialsRows":3,"sourceRows":3,"sourceKeys":["auto-e0cbec6e","auto-dfcbeadb","auto-decbe948"],"stableKey":"auto-b29f25fc","rate":41.96132846302087,"scheduledQuantity":4310.7074999999995,"scheduledCost":180883.0133155075,"quantityVariance":3455.2574999999997,"scheduleRows":1},{"code":"KQ-12-03","name":"Утепление строительных конструкций ниже 0, м3","unit":"ед.","quantity":74.1,"laborHours":1139.0102191433916,"machineHours":59.83566432103322,"cost":35741.18806736075,"materialsCost":0,"materialsRows":2,"sourceRows":2,"sourceKeys":["auto-37fb5a30","auto-3c21349f"],"stableKey":"auto-0f54df69","rate":482.33722088206144,"scheduledQuantity":1.14,"scheduledCost":549.86443180555,"quantityVariance":-72.96,"scheduleRows":1},{"code":"KQ-50-01","name":"Монтаж греющего кабеля, м","unit":"ед.","quantity":3375.54,"laborHours":1023.3355439672033,"machineHours":105.7026416474105,"cost":35617.84071969462,"materialsCost":0,"materialsRows":2,"sourceRows":2,"sourceKeys":["auto-607eee5f","auto-0b21381b"],"stableKey":"auto-5800407d","rate":10.551746007955652,"scheduledQuantity":17842.01,"scheduledCost":188264.3577914048,"quantityVariance":14466.469999999998,"scheduleRows":1},{"code":"KQ-61-02","name":"Монтаж основного оборудования кондиционирования, шт.","unit":"ед.","quantity":6,"laborHours":803.8108769522502,"machineHours":136.21592872573154,"cost":31216.894210433944,"materialsCost":0,"materialsRows":5,"sourceRows":5,"sourceKeys":["auto-7ad3144d","auto-73d30948","auto-74d30adb","auto-b615c8bf","auto-c3181bcd"],"stableKey":"auto-887fcf7c","rate":5202.81570173899,"scheduledQuantity":7,"scheduledCost":36419.70991217293,"quantityVariance":1,"scheduleRows":1},{"code":"KQ-59-02","name":"Монтаж оконечных и распределительных устройств слаботочных сетей, шт.","unit":"ед.","quantity":485,"laborHours":894.0364595486095,"machineHours":87.53430580720577,"cost":30793.69506767687,"materialsCost":0,"materialsRows":9,"sourceRows":9,"sourceKeys":["auto-e6c2f4ce","auto-e5c2f33b","auto-e4c2f1a8","auto-58bb597f","auto-54bb5333","auto-7e3f38fd","auto-7b3f3444","auto-7c3f35d7","auto-f4967860"],"stableKey":"auto-794912ad","rate":63.49215477871519,"scheduledQuantity":564.03,"scheduledCost":35811.48005983873,"quantityVariance":79.02999999999997,"scheduleRows":1},{"code":"KQ-60-02","name":"Монтаж импульсных трубок, м","unit":"ед.","quantity":1757,"laborHours":573.440883069007,"machineHours":182.3828300642238,"cost":28244.7656123119,"materialsCost":0,"materialsRows":2,"sourceRows":2,"sourceKeys":["auto-e2ad4f11","auto-f82a599a"],"stableKey":"auto-741d81ed","rate":16.07556380894246,"scheduledQuantity":6077,"scheduledCost":97691.20126694332,"quantityVariance":4320,"scheduleRows":1},{"code":"KQ-60-07","name":"Монтаж мультимедийного оборудования и оргтехники, шт.","unit":"ед.","quantity":28,"laborHours":916.7181874803643,"machineHours":26.483127188615526,"cost":27317.891097582695,"materialsCost":0,"materialsRows":3,"sourceRows":3,"sourceKeys":["auto-522f29be","auto-0aff13d0","auto-17ff2847"],"stableKey":"auto-6f1d7a0e","rate":975.6389677708105,"scheduledQuantity":40,"scheduledCost":39025.55871083242,"quantityVariance":12,"scheduleRows":1},{"code":"KQ-55-01","name":"Монтаж ИБП, шт.","unit":"ед.","quantity":5,"laborHours":525.6042046960065,"machineHours":105.11526806935612,"cost":21713.538631807794,"materialsCost":0,"materialsRows":4,"sourceRows":4,"sourceKeys":["auto-115ef111","auto-0e5eec58","auto-1e97cd9f","auto-1d97cc0c"],"stableKey":"auto-1e129318","rate":4342.707726361559,"scheduledQuantity":4,"scheduledCost":17370.830905446237,"quantityVariance":-1,"scheduleRows":1},{"code":"KQ-60-04","name":"Монтаж оборудования оповещения и связи, шт.","unit":"ед.","quantity":83,"laborHours":436.2995821605115,"machineHours":71.07791996812296,"cost":16935.783344012285,"materialsCost":0,"materialsRows":6,"sourceRows":6,"sourceKeys":["auto-b39b0475","auto-b29b02e2","auto-29936f72","auto-48da1291","auto-45da0dd8","auto-46da0f6b"],"stableKey":"auto-6e1d787b","rate":204.04558245797935,"scheduledQuantity":56,"scheduledCost":11426.552617646843,"quantityVariance":-27,"scheduleRows":1},{"code":"KQ-58-02","name":"Монтаж щитового оборудования телекоммуникационных сетей, шт.","unit":"ед.","quantity":2,"laborHours":451.6040683845305,"machineHours":40.537336197208404,"cost":15307.282996383792,"materialsCost":0,"materialsRows":8,"sourceRows":8,"sourceKeys":["auto-77e06197","auto-72e059b8","auto-73e05b4b","auto-74e05cde","auto-2c869a28","auto-bd0511e9","auto-ba050d30","auto-bb050ec3"],"stableKey":"auto-8dab603c","rate":7653.641498191896,"scheduledQuantity":2,"scheduledCost":15307.282996383792,"quantityVariance":0,"scheduleRows":1},{"code":"KQ-05-01","name":"Расчистка и планировка площадки строительства, м2","unit":"ед.","quantity":1525,"laborHours":360.813149746302,"machineHours":17.168206596628796,"cost":12010.39658671297,"materialsCost":0,"materialsRows":1,"sourceRows":1,"sourceKeys":["auto-5e03f83f"],"stableKey":"auto-dc6ab453","rate":7.875669892926537,"scheduledQuantity":0,"scheduledCost":0,"quantityVariance":-1525,"scheduleRows":0},{"code":"KQ-67-02","name":"Утепление кровли, м3","unit":"ед.","quantity":41.04,"laborHours":313.5761598904166,"machineHours":15.53519910534819,"cost":11865.078095647485,"materialsCost":0,"materialsRows":1,"sourceRows":1,"sourceKeys":["auto-c1e8640e"],"stableKey":"auto-b09f22d6","rate":289.11009004989,"scheduledQuantity":101.21,"scheduledCost":29260.832213949365,"quantityVariance":60.169999999999995,"scheduleRows":1},{"code":"KQ-57-01","name":"Монтаж малых силовых шкафов, шт.","unit":"ед.","quantity":60,"laborHours":315.3714383934421,"machineHours":20.278786555263288,"cost":10149.363725990594,"materialsCost":0,"materialsRows":2,"sourceRows":2,"sourceKeys":["auto-8f0b5914","auto-b38ef79d"],"stableKey":"auto-8b4d8c02","rate":169.15606209984324,"scheduledQuantity":40,"scheduledCost":6766.242483993729,"quantityVariance":-20,"scheduleRows":1},{"code":"KQ-62-02","name":"Монтаж вентиляционных клапанов и заслонок, шт.","unit":"ед.","quantity":81,"laborHours":259.8434831996613,"machineHours":30.42047854208993,"cost":9083.794926716497,"materialsCost":0,"materialsRows":14,"sourceRows":14,"sourceKeys":["auto-af1c7cf0","auto-b01c7e83","auto-bd1c92fa","auto-be1c948d","auto-e4ce250e","auto-e5ce26a1","auto-e2ce21e8","auto-e3ce237b","auto-e8ce2b5a","auto-e9ce2ced","auto-e6ce2834","auto-6c3906ec","auto-6d39087f","auto-6e390a12"],"stableKey":"auto-3f935a4b","rate":112.14561637921601,"scheduledQuantity":190,"scheduledCost":21307.66711205104,"quantityVariance":109,"scheduleRows":1},{"code":"KQ-43-01","name":"Изоляция запорной арматуры термочехлами, шт.","unit":"ед.","quantity":62,"laborHours":227.64056515674272,"machineHours":9.047158810809002,"cost":5961.75970163497,"materialsCost":0,"materialsRows":4,"sourceRows":4,"sourceKeys":["auto-18d778dc","auto-19d77a6f","auto-1ad77c02","auto-1bd77d95"],"stableKey":"auto-955630b1","rate":96.15741454249952,"scheduledQuantity":40,"scheduledCost":3846.296581699981,"quantityVariance":-22,"scheduleRows":1},{"code":"KQ-67-08","name":"Устройство перильного ограждения кровли, м","unit":"ед.","quantity":49.02,"laborHours":74.39167145882281,"machineHours":3.685514320656047,"cost":2814.8281165033122,"materialsCost":0,"materialsRows":1,"sourceRows":1,"sourceKeys":["auto-96d0d3e5"],"stableKey":"auto-b69f2c48","rate":57.42203420039396,"scheduledQuantity":0,"scheduledCost":0,"quantityVariance":-49.02,"scheduleRows":0},{"code":"KQ-46-01","name":"Монтаж пластиковых коробов, м","unit":"ед.","quantity":30,"laborHours":94.75781408091406,"machineHours":1.5120522566728867,"cost":2771.8229814168776,"materialsCost":0,"materialsRows":1,"sourceRows":1,"sourceKeys":["auto-e8185596"],"stableKey":"auto-af63b954","rate":92.3940993805626,"scheduledQuantity":0,"scheduledCost":0,"quantityVariance":-30,"scheduleRows":0},{"code":"KQ-46-03","name":"Монтаж полимерных труб и гофр, м","unit":"ед.","quantity":55,"laborHours":86.13520789773096,"machineHours":3.4452256612430796,"cost":2700.7193107233275,"materialsCost":0,"materialsRows":1,"sourceRows":1,"sourceKeys":["auto-224ce663"],"stableKey":"auto-b163bc7a","rate":49.10398746769686,"scheduledQuantity":150,"scheduledCost":7365.598120154529,"quantityVariance":95,"scheduleRows":1},{"code":"KQ-03-26","name":"Демонтаж электроустановочных изделий и компонентов КИПиА и слаботочных систем, шт.","unit":"ед.","quantity":22,"laborHours":59.26326409734669,"machineHours":6.4218378520314765,"cost":2384.6873926765634,"materialsCost":0,"materialsRows":2,"sourceRows":2,"sourceKeys":["auto-864c3e52","auto-d1063c25"],"stableKey":"auto-6c30e652","rate":108.39488148529834,"scheduledQuantity":16,"scheduledCost":1734.3181037647735,"quantityVariance":-6,"scheduleRows":1},{"code":"KQ-65-02","name":"Монтаж радиаторов, конвекторов и регистров, шт.","unit":"ед.","quantity":10,"laborHours":47.703973732066686,"machineHours":2.3633516345851673,"cost":1429.249787306926,"materialsCost":0,"materialsRows":2,"sourceRows":2,"sourceKeys":["auto-5ecb83e1","auto-57cb78dc"],"stableKey":"auto-60b580d8","rate":142.9249787306926,"scheduledQuantity":22,"scheduledCost":3144.349532075237,"quantityVariance":12,"scheduleRows":1},{"code":"KQ-68-07","name":"Устройство декоративных фасадных конструкций, м2","unit":"ед.","quantity":4,"laborHours":18.72753972817561,"machineHours":1.6121175913707813,"cost":863.3128041995774,"materialsCost":0,"materialsRows":1,"sourceRows":1,"sourceKeys":["auto-23b45080"],"stableKey":"auto-5c759e96","rate":215.82820104989435,"scheduledQuantity":4,"scheduledCost":863.3128041995774,"quantityVariance":0,"scheduleRows":1},{"code":"KQ-71-10","name":"Устройство элементов обеспечения БДД, шт.","unit":"ед.","quantity":5,"laborHours":20.89266111599312,"machineHours":2.0701296322459286,"cost":665.3179722285599,"materialsCost":0,"materialsRows":1,"sourceRows":1,"sourceKeys":["auto-5bab5eeb"],"stableKey":"auto-bc46cf18","rate":133.063594445712,"scheduledQuantity":3,"scheduledCost":399.190783337136,"quantityVariance":-2,"scheduleRows":1},{"code":"KQ-03-18","name":"Демонтаж элементов воздухозабора и воздухораспредения, шт.","unit":"ед.","quantity":5,"laborHours":11.101713175559038,"machineHours":1.9051418570443734,"cost":527.0312657506828,"materialsCost":0,"materialsRows":2,"sourceRows":2,"sourceKeys":["auto-83264689","auto-822644f6"],"stableKey":"auto-f03871e3","rate":105.40625315013656,"scheduledQuantity":209,"scheduledCost":22029.906908378543,"quantityVariance":204,"scheduleRows":1},{"code":"KQ-03-16","name":"Демонтаж отопительных приборов, шт.","unit":"ед.","quantity":2,"laborHours":4.9411788721081145,"machineHours":0.7620567428177494,"cost":224.7485771415027,"materialsCost":0,"materialsRows":1,"sourceRows":1,"sourceKeys":["auto-68728be3"],"stableKey":"auto-fe3887ed","rate":112.37428857075135,"scheduledQuantity":2,"scheduledCost":224.7485771415027,"quantityVariance":0,"scheduleRows":1}],"scenarioDerived":true,"sourcePlan":true,"sourceKqOverrides":false,"expectNoActuals":true,"sourceFiles":{"boq":"data/contractors/c1/sources/scenario-b/boq.xlsx","ksg":"data/contractors/c1/sources/scenario-b/ksg.xlsx","personnel":"data/contractors/c1/sources/scenario-b/personnel.xlsx","equipment":"data/contractors/c1/sources/scenario-b/equipment.xlsx","primary_documents":"data/sources/primary_documents.xlsx","payments":"data/sources/payments.xlsx","factoring":"data/sources/factoring.xlsx"},"sourceCurrency":"USD","priorVersionId":"v_scenario_b_2026","openingCash":0,"materialKinds":{}}]}],"sourceMapping":{"schemaVersion":"1.0.0","editable":true,"matching":{"normalizeHeaders":true,"ignoreCase":true,"ignoreWhitespace":true,"ignorePunctuation":true,"minimumAutomaticConfidence":0.9,"requireConfirmationBelowConfidence":0.98},"sources":{"boq":{"enabled":true,"required":true,"currency":"USD","path":"data/sources/boq.xlsx","sheetAliases":["BOQ","Ведомость объемов","Ведомость объёмов"],"headerRow":{"mode":"auto","fallback":9,"searchRows":30},"requiredFields":["item_code","item_name","unit","contract_quantity"],"fields":{"item_code":["Шифр ЕР","Код ЕР","Код расценки"],"item_name":["Наименование ЕР","Наименование работ"],"unit":["Ед. изм.","Единица измерения"],"contract_quantity":["Кол-во по BoQ","Количество по BOQ","Объем по BOQ","Объём по BOQ"],"labor_hours_unit":["Трудозатраты за ед., чел.-час."],"labor_hours_total":["Трудозатраты всего, чел.-час"],"machine_hours_unit":["Машины и механизмы за ед., маш.-час."],"machine_hours_total":["Машины и механизмы всего, маш.-час"],"smr_unit_rate":["Един. расценка на СМР прямые затраты, USD"],"materials_unit_rate":["Един. расценка стоимости материалов и оборудования, USD"],"kq_code":["Код KQ-1","Код KQ-2","KQ"],"kq_name":["Наименование KQ-1","Наименование KQ-2"]}},"ksg":{"enabled":true,"required":true,"path":"data/sources/ksg.xlsx","sheetAliases":["КСГ","Календарный график","График производства"],"headerRow":{"mode":"auto","fallback":2,"searchRows":20},"dynamicColumns":{"mode":"dateHeaders","grain":"month"},"requiredFields":["kq_code","work_name","planned_quantity"],"fields":{"kq_code":["Ключевые работы","Код KQ","KQ"],"work_name":["Название работы","Наименование работы"],"work_id":["Идентификатор работы","Код работы"],"smr_rate":["Расценка СМР"],"materials_rate":["Расценка МТР"],"contract_quantity":["Контрактные объемы","Контрактные объёмы"],"planned_quantity":["Кол-во по завершении","Количество по завершении"],"actual_quantity":["Фактическое количество"],"remaining_quantity":["Оставшееся количество"],"start_date":["Начало","Дата начала"],"finish_date":["Окончание","Дата окончания"]}},"personnel":{"enabled":true,"required":true,"path":"data/sources/personnel.xlsx","sheetAliases":["Персонал","График персонала","Ресурсный график персонала"],"headerRow":{"mode":"auto","fallback":4,"searchRows":20},"dynamicColumns":{"mode":"dateHeaders","grain":"day"},"requiredFields":["contractor","category","work_name","personnel_type"],"fields":{"source_key":["Ключ"],"contractor":["Подрядчик","Контрагент"],"facility":["Установка","Объект"],"title":["Титул"],"category":["Категория"],"kq_code":["KQ","Код KQ"],"discipline":["Дисциплина"],"work_name":["Наименование работ","Работа"],"personnel_type":["Персонал","Профессия","Категория персонала"]}},"equipment":{"enabled":true,"required":true,"path":"data/sources/equipment.xlsx","sheetAliases":["Техника","График техники","Ресурсный график техники"],"headerRow":{"mode":"auto","fallback":4,"searchRows":20},"dynamicColumns":{"mode":"dateHeaders","grain":"day"},"requiredFields":["contractor","equipment_type","equipment_name","work_name"],"fields":{"source_key":["Ключ"],"contractor":["Подрядчик","Контрагент"],"facility":["Установка","Объект"],"title":["Титул"],"category":["Категория"],"equipment_type":["Тип техники","Группа техники"],"equipment_name":["Техника","Наименование техники"],"work_name":["Наименование работ","Работа"],"kq_code":["KQ","Код KQ"],"discipline":["Дисциплина"]}},"primary_documents":{"enabled":true,"required":true,"path":"data/sources/primary_documents.xlsx","sheetAliases":["Первичка в вал.контракта","Первичка","КС и первичные документы"],"headerRow":{"mode":"auto","fallback":1,"searchRows":20},"requiredFields":["contractor","contract_number","currency","document_number","document_date","amount_without_vat"],"fields":{"contractor":["Контрагент","Подрядчик"],"contractor_code":["Код КА"],"legal_entity":["ЮЛ","Юридическое лицо"],"expense_type":["Вид расхода"],"contract_number":["Договор с КА","Договор","Номер договора"],"project":["Проект"],"currency":["Валюта"],"vat_rate":["Ставка НДС","НДС"],"document_number":["№ КС-3, ПУД, ТОРГ-12","Номер КС-3","Номер документа"],"document_date":["Дата КС-3","Дата подписания КС"],"amount_without_vat":["Сумма без НДС"],"services_without_vat":["Услуги без НДС"],"materials_without_vat":["МТР П без НДС"],"amount_with_vat":["Сумма с НДС"],"guarantee_rate":["% ГУ"],"guarantee_without_vat":["сумма ГУ без НДС"],"advance_offset_without_vat":["Аванс зачет без НДС","Аванс зачёт без НДС"],"planned_payment_date":["ПЛАН ОПЛАТЫ ДАТА","Плановая дата оплаты"],"actual_payment_without_vat":["Факт оплаты по КС без НДС"],"actual_payment_date":["Дата оплаты факт"]}},"payments":{"enabled":true,"required":true,"path":"data/sources/payments.xlsx","sheetAliases":["Платежи","Реестр платежей","Фактические платежи"],"headerRow":{"mode":"auto","fallback":1,"searchRows":20},"requiredFields":["payment_date","contractor","contract_number","amount_without_vat"],"fields":{"payment_date":["Дата платежа"],"contractor":["Контрагент","Имя 1","КА"],"contract_number":["Номер договора","Договор"],"currency":["Валюта транзакции"],"amount_with_vat":["Финансирование, с НДС, Влт","Финансирование, руб. экв, с НДС"],"amount_without_vat":["Финансирование, без НДС, Влт","Финансирование, руб. экв, без НДС"],"payment_purpose":["Назначение платежа"],"payment_type":["Вид оплаты (аванс, оплата по факту)"],"expense_type":["Вид расхода-формулу снизу протянуть","Вид расхода"]}},"factoring":{"enabled":true,"required":false,"path":"data/sources/factoring.xlsx","sheetAliases":["Факторинг","Реестр факторинга"],"headerRow":{"mode":"auto","fallback":1,"searchRows":20},"requiredFields":["contractor","contract_number","document_number","financed_amount"],"fields":{"contractor":["Контрагент","Подрядчик"],"project":["Проект"],"factoring_contract":["Договор на факторинге"],"contract_number":["Договор","Номер договора"],"bank":["Банк"],"financed_amount":["Оплаченная сумма банком"],"document_number":["Номер КС-3"],"document_date":["Дата КС-3"],"financing_start_date":["Дата начала начисления Процентов за пользование коммерческим кредитом3"],"financing_end_date":["Дата окончания периода коммерческого кредита6"],"amount_with_vat_currency":["Сумма в евро / Доллар с НДС"],"exchange_rate":["курс евро / доллар","Курс"],"amount_without_vat_currency":["Сумма в евро / Доллар без НДС"],"payment_date":["Дата платежа"],"amount_without_vat_rub":["Оплачено без НДС в руб."]}}}},"simulationRates":{"source":"Исходная модель/model.xlsx, Детальная модель","sourceCurrency":"USD","rubPerUsdReference":80,"rubPerUsdSource":"Детальная модель!E2","status":"имитация; курс и ставки по категориям персонала требуют подтверждения"},"executionSchedule":{"stages":[70,18,12],"documentationDelay":[10,10,10],"ks2Lag":1},"portfolio":{"versionIds":{"d_pilot_4700134128":"v_pilot_2026","d_scenario_b_4700134128":"v_scenario_b_2026"},"excluded":[]},"pipeRateRule":{"parentCode":"KQ-33-01","parts":[{"code":"KQ-33-01","share":50},{"code":"KQ-33-11","share":20},{"code":"KQ-33-12","share":30}]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2026-09-28T06:34:35Z</dcterms:created>
  <dcterms:modified xmlns:dcterms="http://purl.org/dc/terms/" xmlns:xsi="http://www.w3.org/2001/XMLSchema-instance" xsi:type="dcterms:W3CDTF">2026-09-28T06:34:35Z</dcterms:modified>
</cp:coreProperties>
</file>