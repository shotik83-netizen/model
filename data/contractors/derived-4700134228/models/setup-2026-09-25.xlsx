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" sheetId="1" r:id="rId1"/>
    <sheet name="Параметры" sheetId="2" r:id="rId2"/>
    <sheet name="Модель" sheetId="3" r:id="rId3"/>
    <sheet name="Детальная модель" sheetId="4" r:id="rId4"/>
    <sheet name="_DATA" sheetId="5" r:id="rId5" state="hidden"/>
  </sheets>
</workbook>
</file>

<file path=xl/styles.xml><?xml version="1.0" encoding="utf-8"?>
<styleSheet xmlns="http://schemas.openxmlformats.org/spreadsheetml/2006/main">
  <numFmts count="1">
    <numFmt numFmtId="164" formatCode="# ##0.0;[Red]-# ##0.0;–"/>
  </numFmts>
  <fonts count="4">
    <font>
      <sz val="11"/>
      <name val="Aptos"/>
      <color rgb="FF20303B"/>
    </font>
    <font>
      <b/>
      <sz val="11"/>
      <name val="Aptos"/>
      <color rgb="FF24444D"/>
    </font>
    <font>
      <b/>
      <sz val="11"/>
      <name val="Aptos"/>
      <color rgb="FF183D49"/>
    </font>
    <font>
      <sz val="11"/>
      <name val="Aptos"/>
      <color rgb="FFB53B3B"/>
    </font>
  </fonts>
  <fills count="5">
    <fill>
      <patternFill patternType="none"/>
    </fill>
    <fill>
      <patternFill patternType="gray125"/>
    </fill>
    <fill>
      <patternFill patternType="solid">
        <fgColor rgb="FFEAF0F2"/>
      </patternFill>
    </fill>
    <fill>
      <patternFill patternType="solid">
        <fgColor rgb="FFF3F7F8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2" fillId="3" borderId="0" xfId="0" applyFont="1" applyFill="1" applyNumberFormat="1"/>
    <xf numFmtId="164" fontId="0" fillId="4" borderId="0" xfId="0" applyFill="1" applyNumberFormat="1"/>
    <xf numFmtId="164" fontId="3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Файл подрядчика финансово-экономической модели</t>
        </is>
      </c>
    </row>
    <row r="2">
      <c r="A2" t="inlineStr">
        <is>
          <t xml:space="preserve">Подрядчик</t>
        </is>
      </c>
      <c r="B2" t="inlineStr">
        <is>
          <t xml:space="preserve">Подрядчик 2 · расчётный сценарий</t>
        </is>
      </c>
    </row>
    <row r="3">
      <c r="A3" t="inlineStr">
        <is>
          <t xml:space="preserve">Идентификатор</t>
        </is>
      </c>
      <c r="B3" t="inlineStr">
        <is>
          <t xml:space="preserve">c_mugvjjiee42h</t>
        </is>
      </c>
    </row>
    <row r="4">
      <c r="A4" t="inlineStr">
        <is>
          <t xml:space="preserve">Сформирован</t>
        </is>
      </c>
      <c r="B4" t="inlineStr">
        <is>
          <t xml:space="preserve">2026-09-25T12:30:35.697Z</t>
        </is>
      </c>
    </row>
    <row r="5"/>
    <row r="6">
      <c r="A6" t="inlineStr">
        <is>
          <t xml:space="preserve">Договор</t>
        </is>
      </c>
      <c r="B6" t="inlineStr">
        <is>
          <t xml:space="preserve">Наименование</t>
        </is>
      </c>
      <c r="C6" t="inlineStr">
        <is>
          <t xml:space="preserve">Версий</t>
        </is>
      </c>
      <c r="D6" t="inlineStr">
        <is>
          <t xml:space="preserve">Валюта актуальной версии</t>
        </is>
      </c>
      <c r="E6" t="inlineStr">
        <is>
          <t xml:space="preserve">Контрактный курс к RUB</t>
        </is>
      </c>
    </row>
    <row r="7">
      <c r="A7" t="inlineStr">
        <is>
          <t xml:space="preserve">4700134228</t>
        </is>
      </c>
      <c r="B7" t="inlineStr">
        <is>
          <t xml:space="preserve">Расчётный договор 4700134228 · +5 месяцев, ставка и объём ×2</t>
        </is>
      </c>
      <c r="C7" s="2">
        <v>1</v>
      </c>
      <c r="D7" t="inlineStr">
        <is>
          <t xml:space="preserve">USD</t>
        </is>
      </c>
      <c r="E7" s="2">
        <v>80</v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Валюта</t>
        </is>
      </c>
      <c r="D1" s="1" t="inlineStr">
        <is>
          <t xml:space="preserve">Курс к RUB</t>
        </is>
      </c>
      <c r="E1" s="1" t="inlineStr">
        <is>
          <t xml:space="preserve">Статья</t>
        </is>
      </c>
      <c r="F1" s="1" t="inlineStr">
        <is>
          <t xml:space="preserve">Группа</t>
        </is>
      </c>
      <c r="G1" s="1" t="inlineStr">
        <is>
          <t xml:space="preserve">Ставка</t>
        </is>
      </c>
      <c r="H1" s="1" t="inlineStr">
        <is>
          <t xml:space="preserve">Метод</t>
        </is>
      </c>
      <c r="I1" s="1" t="inlineStr">
        <is>
          <t xml:space="preserve">База ставки</t>
        </is>
      </c>
      <c r="J1" s="1" t="inlineStr">
        <is>
          <t xml:space="preserve">Источник ставки</t>
        </is>
      </c>
      <c r="K1" s="1" t="inlineStr">
        <is>
          <t xml:space="preserve">Оплата, мес.</t>
        </is>
      </c>
      <c r="L1" s="1" t="inlineStr">
        <is>
          <t xml:space="preserve">В экономике</t>
        </is>
      </c>
      <c r="M1" s="1" t="inlineStr">
        <is>
          <t xml:space="preserve">Выплачивать</t>
        </is>
      </c>
      <c r="N1" s="1" t="inlineStr">
        <is>
          <t xml:space="preserve">С НДС</t>
        </is>
      </c>
    </row>
    <row r="2">
      <c r="A2" t="inlineStr">
        <is>
          <t xml:space="preserve">4700134228</t>
        </is>
      </c>
      <c r="B2" t="inlineStr">
        <is>
          <t xml:space="preserve">Без исходных данных</t>
        </is>
      </c>
      <c r="C2" t="inlineStr">
        <is>
          <t xml:space="preserve">USD</t>
        </is>
      </c>
      <c r="D2" s="2">
        <v>80</v>
      </c>
      <c r="E2" t="inlineStr">
        <is>
          <t xml:space="preserve">Заработная плата</t>
        </is>
      </c>
      <c r="F2" t="inlineStr">
        <is>
          <t xml:space="preserve">Прямые</t>
        </is>
      </c>
      <c r="G2" s="2">
        <v>3750</v>
      </c>
      <c r="H2" t="inlineStr">
        <is>
          <t xml:space="preserve">monthly</t>
        </is>
      </c>
      <c r="I2" t="inlineStr">
        <is>
          <t xml:space="preserve"/>
        </is>
      </c>
      <c r="J2" t="inlineStr">
        <is>
          <t xml:space="preserve"/>
        </is>
      </c>
      <c r="K2" s="2">
        <v>0</v>
      </c>
      <c r="L2" t="inlineStr">
        <is>
          <t xml:space="preserve">true</t>
        </is>
      </c>
      <c r="M2" t="inlineStr">
        <is>
          <t xml:space="preserve">true</t>
        </is>
      </c>
      <c r="N2" t="inlineStr">
        <is>
          <t xml:space="preserve">false</t>
        </is>
      </c>
    </row>
    <row r="3">
      <c r="A3" t="inlineStr">
        <is>
          <t xml:space="preserve">4700134228</t>
        </is>
      </c>
      <c r="B3" t="inlineStr">
        <is>
          <t xml:space="preserve">Без исходных данных</t>
        </is>
      </c>
      <c r="C3" t="inlineStr">
        <is>
          <t xml:space="preserve">USD</t>
        </is>
      </c>
      <c r="D3" s="2">
        <v>80</v>
      </c>
      <c r="E3" t="inlineStr">
        <is>
          <t xml:space="preserve">НДФЛ</t>
        </is>
      </c>
      <c r="F3" t="inlineStr">
        <is>
          <t xml:space="preserve">Прямые</t>
        </is>
      </c>
      <c r="G3" s="2">
        <v>0</v>
      </c>
      <c r="H3" t="inlineStr">
        <is>
          <t xml:space="preserve">rate</t>
        </is>
      </c>
      <c r="I3" t="inlineStr">
        <is>
          <t xml:space="preserve"/>
        </is>
      </c>
      <c r="J3" t="inlineStr">
        <is>
          <t xml:space="preserve"/>
        </is>
      </c>
      <c r="K3" s="2">
        <v>0</v>
      </c>
      <c r="L3" t="inlineStr">
        <is>
          <t xml:space="preserve">false</t>
        </is>
      </c>
      <c r="M3" t="inlineStr">
        <is>
          <t xml:space="preserve">true</t>
        </is>
      </c>
      <c r="N3" t="inlineStr">
        <is>
          <t xml:space="preserve">false</t>
        </is>
      </c>
    </row>
    <row r="4">
      <c r="A4" t="inlineStr">
        <is>
          <t xml:space="preserve">4700134228</t>
        </is>
      </c>
      <c r="B4" t="inlineStr">
        <is>
          <t xml:space="preserve">Без исходных данных</t>
        </is>
      </c>
      <c r="C4" t="inlineStr">
        <is>
          <t xml:space="preserve">USD</t>
        </is>
      </c>
      <c r="D4" s="2">
        <v>80</v>
      </c>
      <c r="E4" t="inlineStr">
        <is>
          <t xml:space="preserve">Страховые взносы</t>
        </is>
      </c>
      <c r="F4" t="inlineStr">
        <is>
          <t xml:space="preserve">Прямые</t>
        </is>
      </c>
      <c r="G4" s="2">
        <v>0</v>
      </c>
      <c r="H4" t="inlineStr">
        <is>
          <t xml:space="preserve">rate</t>
        </is>
      </c>
      <c r="I4" t="inlineStr">
        <is>
          <t xml:space="preserve"/>
        </is>
      </c>
      <c r="J4" t="inlineStr">
        <is>
          <t xml:space="preserve"/>
        </is>
      </c>
      <c r="K4" s="2">
        <v>0</v>
      </c>
      <c r="L4" t="inlineStr">
        <is>
          <t xml:space="preserve">false</t>
        </is>
      </c>
      <c r="M4" t="inlineStr">
        <is>
          <t xml:space="preserve">true</t>
        </is>
      </c>
      <c r="N4" t="inlineStr">
        <is>
          <t xml:space="preserve">false</t>
        </is>
      </c>
    </row>
    <row r="5">
      <c r="A5" t="inlineStr">
        <is>
          <t xml:space="preserve">4700134228</t>
        </is>
      </c>
      <c r="B5" t="inlineStr">
        <is>
          <t xml:space="preserve">Без исходных данных</t>
        </is>
      </c>
      <c r="C5" t="inlineStr">
        <is>
          <t xml:space="preserve">USD</t>
        </is>
      </c>
      <c r="D5" s="2">
        <v>80</v>
      </c>
      <c r="E5" t="inlineStr">
        <is>
          <t xml:space="preserve">Резерв на отпуска</t>
        </is>
      </c>
      <c r="F5" t="inlineStr">
        <is>
          <t xml:space="preserve">Прямые</t>
        </is>
      </c>
      <c r="G5" s="2">
        <v>0</v>
      </c>
      <c r="H5" t="inlineStr">
        <is>
          <t xml:space="preserve">rate</t>
        </is>
      </c>
      <c r="I5" t="inlineStr">
        <is>
          <t xml:space="preserve"/>
        </is>
      </c>
      <c r="J5" t="inlineStr">
        <is>
          <t xml:space="preserve"/>
        </is>
      </c>
      <c r="K5" s="2">
        <v>0</v>
      </c>
      <c r="L5" t="inlineStr">
        <is>
          <t xml:space="preserve">false</t>
        </is>
      </c>
      <c r="M5" t="inlineStr">
        <is>
          <t xml:space="preserve">false</t>
        </is>
      </c>
      <c r="N5" t="inlineStr">
        <is>
          <t xml:space="preserve">false</t>
        </is>
      </c>
    </row>
    <row r="6">
      <c r="A6" t="inlineStr">
        <is>
          <t xml:space="preserve">4700134228</t>
        </is>
      </c>
      <c r="B6" t="inlineStr">
        <is>
          <t xml:space="preserve">Без исходных данных</t>
        </is>
      </c>
      <c r="C6" t="inlineStr">
        <is>
          <t xml:space="preserve">USD</t>
        </is>
      </c>
      <c r="D6" s="2">
        <v>80</v>
      </c>
      <c r="E6" t="inlineStr">
        <is>
          <t xml:space="preserve">Субподряд</t>
        </is>
      </c>
      <c r="F6" t="inlineStr">
        <is>
          <t xml:space="preserve">Прямые</t>
        </is>
      </c>
      <c r="G6" s="2">
        <v>0</v>
      </c>
      <c r="H6" t="inlineStr">
        <is>
          <t xml:space="preserve">percentRevenue</t>
        </is>
      </c>
      <c r="I6" t="inlineStr">
        <is>
          <t xml:space="preserve"/>
        </is>
      </c>
      <c r="J6" t="inlineStr">
        <is>
          <t xml:space="preserve"/>
        </is>
      </c>
      <c r="K6" s="2">
        <v>0</v>
      </c>
      <c r="L6" t="inlineStr">
        <is>
          <t xml:space="preserve">false</t>
        </is>
      </c>
      <c r="M6" t="inlineStr">
        <is>
          <t xml:space="preserve">true</t>
        </is>
      </c>
      <c r="N6" t="inlineStr">
        <is>
          <t xml:space="preserve">true</t>
        </is>
      </c>
    </row>
    <row r="7">
      <c r="A7" t="inlineStr">
        <is>
          <t xml:space="preserve">4700134228</t>
        </is>
      </c>
      <c r="B7" t="inlineStr">
        <is>
          <t xml:space="preserve">Без исходных данных</t>
        </is>
      </c>
      <c r="C7" t="inlineStr">
        <is>
          <t xml:space="preserve">USD</t>
        </is>
      </c>
      <c r="D7" s="2">
        <v>80</v>
      </c>
      <c r="E7" t="inlineStr">
        <is>
          <t xml:space="preserve">Строительная техника</t>
        </is>
      </c>
      <c r="F7" t="inlineStr">
        <is>
          <t xml:space="preserve">Прямые</t>
        </is>
      </c>
      <c r="G7" s="2">
        <v>0</v>
      </c>
      <c r="H7" t="inlineStr">
        <is>
          <t xml:space="preserve">unit</t>
        </is>
      </c>
      <c r="I7" t="inlineStr">
        <is>
          <t xml:space="preserve"/>
        </is>
      </c>
      <c r="J7" t="inlineStr">
        <is>
          <t xml:space="preserve"/>
        </is>
      </c>
      <c r="K7" s="2">
        <v>0</v>
      </c>
      <c r="L7" t="inlineStr">
        <is>
          <t xml:space="preserve">false</t>
        </is>
      </c>
      <c r="M7" t="inlineStr">
        <is>
          <t xml:space="preserve">true</t>
        </is>
      </c>
      <c r="N7" t="inlineStr">
        <is>
          <t xml:space="preserve">true</t>
        </is>
      </c>
    </row>
    <row r="8">
      <c r="A8" t="inlineStr">
        <is>
          <t xml:space="preserve">4700134228</t>
        </is>
      </c>
      <c r="B8" t="inlineStr">
        <is>
          <t xml:space="preserve">Без исходных данных</t>
        </is>
      </c>
      <c r="C8" t="inlineStr">
        <is>
          <t xml:space="preserve">USD</t>
        </is>
      </c>
      <c r="D8" s="2">
        <v>80</v>
      </c>
      <c r="E8" t="inlineStr">
        <is>
          <t xml:space="preserve">Строительные леса</t>
        </is>
      </c>
      <c r="F8" t="inlineStr">
        <is>
          <t xml:space="preserve">Прямые</t>
        </is>
      </c>
      <c r="G8" s="2">
        <v>0</v>
      </c>
      <c r="H8" t="inlineStr">
        <is>
          <t xml:space="preserve">manual</t>
        </is>
      </c>
      <c r="I8" t="inlineStr">
        <is>
          <t xml:space="preserve"/>
        </is>
      </c>
      <c r="J8" t="inlineStr">
        <is>
          <t xml:space="preserve"/>
        </is>
      </c>
      <c r="K8" s="2">
        <v>0</v>
      </c>
      <c r="L8" t="inlineStr">
        <is>
          <t xml:space="preserve">false</t>
        </is>
      </c>
      <c r="M8" t="inlineStr">
        <is>
          <t xml:space="preserve">true</t>
        </is>
      </c>
      <c r="N8" t="inlineStr">
        <is>
          <t xml:space="preserve">true</t>
        </is>
      </c>
    </row>
    <row r="9">
      <c r="A9" t="inlineStr">
        <is>
          <t xml:space="preserve">4700134228</t>
        </is>
      </c>
      <c r="B9" t="inlineStr">
        <is>
          <t xml:space="preserve">Без исходных данных</t>
        </is>
      </c>
      <c r="C9" t="inlineStr">
        <is>
          <t xml:space="preserve">USD</t>
        </is>
      </c>
      <c r="D9" s="2">
        <v>80</v>
      </c>
      <c r="E9" t="inlineStr">
        <is>
          <t xml:space="preserve">Лесомонтаж</t>
        </is>
      </c>
      <c r="F9" t="inlineStr">
        <is>
          <t xml:space="preserve">Прямые</t>
        </is>
      </c>
      <c r="G9" s="2">
        <v>0</v>
      </c>
      <c r="H9" t="inlineStr">
        <is>
          <t xml:space="preserve">unit</t>
        </is>
      </c>
      <c r="I9" t="inlineStr">
        <is>
          <t xml:space="preserve"/>
        </is>
      </c>
      <c r="J9" t="inlineStr">
        <is>
          <t xml:space="preserve"/>
        </is>
      </c>
      <c r="K9" s="2">
        <v>0</v>
      </c>
      <c r="L9" t="inlineStr">
        <is>
          <t xml:space="preserve">false</t>
        </is>
      </c>
      <c r="M9" t="inlineStr">
        <is>
          <t xml:space="preserve">true</t>
        </is>
      </c>
      <c r="N9" t="inlineStr">
        <is>
          <t xml:space="preserve">true</t>
        </is>
      </c>
    </row>
    <row r="10">
      <c r="A10" t="inlineStr">
        <is>
          <t xml:space="preserve">4700134228</t>
        </is>
      </c>
      <c r="B10" t="inlineStr">
        <is>
          <t xml:space="preserve">Без исходных данных</t>
        </is>
      </c>
      <c r="C10" t="inlineStr">
        <is>
          <t xml:space="preserve">USD</t>
        </is>
      </c>
      <c r="D10" s="2">
        <v>80</v>
      </c>
      <c r="E10" t="inlineStr">
        <is>
          <t xml:space="preserve">Проектные материалы</t>
        </is>
      </c>
      <c r="F10" t="inlineStr">
        <is>
          <t xml:space="preserve">Прямые</t>
        </is>
      </c>
      <c r="G10" s="2">
        <v>0</v>
      </c>
      <c r="H10" t="inlineStr">
        <is>
          <t xml:space="preserve">materials</t>
        </is>
      </c>
      <c r="I10" t="inlineStr">
        <is>
          <t xml:space="preserve"/>
        </is>
      </c>
      <c r="J10" t="inlineStr">
        <is>
          <t xml:space="preserve"/>
        </is>
      </c>
      <c r="K10" s="2">
        <v>0</v>
      </c>
      <c r="L10" t="inlineStr">
        <is>
          <t xml:space="preserve">false</t>
        </is>
      </c>
      <c r="M10" t="inlineStr">
        <is>
          <t xml:space="preserve">true</t>
        </is>
      </c>
      <c r="N10" t="inlineStr">
        <is>
          <t xml:space="preserve">true</t>
        </is>
      </c>
    </row>
    <row r="11">
      <c r="A11" t="inlineStr">
        <is>
          <t xml:space="preserve">4700134228</t>
        </is>
      </c>
      <c r="B11" t="inlineStr">
        <is>
          <t xml:space="preserve">Без исходных данных</t>
        </is>
      </c>
      <c r="C11" t="inlineStr">
        <is>
          <t xml:space="preserve">USD</t>
        </is>
      </c>
      <c r="D11" s="2">
        <v>80</v>
      </c>
      <c r="E11" t="inlineStr">
        <is>
          <t xml:space="preserve">Расходные материалы</t>
        </is>
      </c>
      <c r="F11" t="inlineStr">
        <is>
          <t xml:space="preserve">Прямые</t>
        </is>
      </c>
      <c r="G11" s="2">
        <v>0</v>
      </c>
      <c r="H11" t="inlineStr">
        <is>
          <t xml:space="preserve">percentPayroll</t>
        </is>
      </c>
      <c r="I11" t="inlineStr">
        <is>
          <t xml:space="preserve"/>
        </is>
      </c>
      <c r="J11" t="inlineStr">
        <is>
          <t xml:space="preserve"/>
        </is>
      </c>
      <c r="K11" s="2">
        <v>0</v>
      </c>
      <c r="L11" t="inlineStr">
        <is>
          <t xml:space="preserve">false</t>
        </is>
      </c>
      <c r="M11" t="inlineStr">
        <is>
          <t xml:space="preserve">true</t>
        </is>
      </c>
      <c r="N11" t="inlineStr">
        <is>
          <t xml:space="preserve">true</t>
        </is>
      </c>
    </row>
    <row r="12">
      <c r="A12" t="inlineStr">
        <is>
          <t xml:space="preserve">4700134228</t>
        </is>
      </c>
      <c r="B12" t="inlineStr">
        <is>
          <t xml:space="preserve">Без исходных данных</t>
        </is>
      </c>
      <c r="C12" t="inlineStr">
        <is>
          <t xml:space="preserve">USD</t>
        </is>
      </c>
      <c r="D12" s="2">
        <v>80</v>
      </c>
      <c r="E12" t="inlineStr">
        <is>
          <t xml:space="preserve">НРК</t>
        </is>
      </c>
      <c r="F12" t="inlineStr">
        <is>
          <t xml:space="preserve">Прямые</t>
        </is>
      </c>
      <c r="G12" s="2">
        <v>0</v>
      </c>
      <c r="H12" t="inlineStr">
        <is>
          <t xml:space="preserve">unit</t>
        </is>
      </c>
      <c r="I12" t="inlineStr">
        <is>
          <t xml:space="preserve"/>
        </is>
      </c>
      <c r="J12" t="inlineStr">
        <is>
          <t xml:space="preserve"/>
        </is>
      </c>
      <c r="K12" s="2">
        <v>0</v>
      </c>
      <c r="L12" t="inlineStr">
        <is>
          <t xml:space="preserve">false</t>
        </is>
      </c>
      <c r="M12" t="inlineStr">
        <is>
          <t xml:space="preserve">true</t>
        </is>
      </c>
      <c r="N12" t="inlineStr">
        <is>
          <t xml:space="preserve">true</t>
        </is>
      </c>
    </row>
    <row r="13">
      <c r="A13" t="inlineStr">
        <is>
          <t xml:space="preserve">4700134228</t>
        </is>
      </c>
      <c r="B13" t="inlineStr">
        <is>
          <t xml:space="preserve">Без исходных данных</t>
        </is>
      </c>
      <c r="C13" t="inlineStr">
        <is>
          <t xml:space="preserve">USD</t>
        </is>
      </c>
      <c r="D13" s="2">
        <v>80</v>
      </c>
      <c r="E13" t="inlineStr">
        <is>
          <t xml:space="preserve">Прочие прямые</t>
        </is>
      </c>
      <c r="F13" t="inlineStr">
        <is>
          <t xml:space="preserve">Прямые</t>
        </is>
      </c>
      <c r="G13" s="2">
        <v>0</v>
      </c>
      <c r="H13" t="inlineStr">
        <is>
          <t xml:space="preserve">manual</t>
        </is>
      </c>
      <c r="I13" t="inlineStr">
        <is>
          <t xml:space="preserve"/>
        </is>
      </c>
      <c r="J13" t="inlineStr">
        <is>
          <t xml:space="preserve"/>
        </is>
      </c>
      <c r="K13" s="2">
        <v>0</v>
      </c>
      <c r="L13" t="inlineStr">
        <is>
          <t xml:space="preserve">false</t>
        </is>
      </c>
      <c r="M13" t="inlineStr">
        <is>
          <t xml:space="preserve">true</t>
        </is>
      </c>
      <c r="N13" t="inlineStr">
        <is>
          <t xml:space="preserve">true</t>
        </is>
      </c>
    </row>
    <row r="14">
      <c r="A14" t="inlineStr">
        <is>
          <t xml:space="preserve">4700134228</t>
        </is>
      </c>
      <c r="B14" t="inlineStr">
        <is>
          <t xml:space="preserve">Без исходных данных</t>
        </is>
      </c>
      <c r="C14" t="inlineStr">
        <is>
          <t xml:space="preserve">USD</t>
        </is>
      </c>
      <c r="D14" s="2">
        <v>80</v>
      </c>
      <c r="E14" t="inlineStr">
        <is>
          <t xml:space="preserve">Заработная плата</t>
        </is>
      </c>
      <c r="F14" t="inlineStr">
        <is>
          <t xml:space="preserve">Косвенные</t>
        </is>
      </c>
      <c r="G14" s="2">
        <v>0</v>
      </c>
      <c r="H14" t="inlineStr">
        <is>
          <t xml:space="preserve">monthly</t>
        </is>
      </c>
      <c r="I14" t="inlineStr">
        <is>
          <t xml:space="preserve"/>
        </is>
      </c>
      <c r="J14" t="inlineStr">
        <is>
          <t xml:space="preserve"/>
        </is>
      </c>
      <c r="K14" s="2">
        <v>0</v>
      </c>
      <c r="L14" t="inlineStr">
        <is>
          <t xml:space="preserve">false</t>
        </is>
      </c>
      <c r="M14" t="inlineStr">
        <is>
          <t xml:space="preserve">true</t>
        </is>
      </c>
      <c r="N14" t="inlineStr">
        <is>
          <t xml:space="preserve">false</t>
        </is>
      </c>
    </row>
    <row r="15">
      <c r="A15" t="inlineStr">
        <is>
          <t xml:space="preserve">4700134228</t>
        </is>
      </c>
      <c r="B15" t="inlineStr">
        <is>
          <t xml:space="preserve">Без исходных данных</t>
        </is>
      </c>
      <c r="C15" t="inlineStr">
        <is>
          <t xml:space="preserve">USD</t>
        </is>
      </c>
      <c r="D15" s="2">
        <v>80</v>
      </c>
      <c r="E15" t="inlineStr">
        <is>
          <t xml:space="preserve">НДФЛ</t>
        </is>
      </c>
      <c r="F15" t="inlineStr">
        <is>
          <t xml:space="preserve">Косвенные</t>
        </is>
      </c>
      <c r="G15" s="2">
        <v>0</v>
      </c>
      <c r="H15" t="inlineStr">
        <is>
          <t xml:space="preserve">rate</t>
        </is>
      </c>
      <c r="I15" t="inlineStr">
        <is>
          <t xml:space="preserve"/>
        </is>
      </c>
      <c r="J15" t="inlineStr">
        <is>
          <t xml:space="preserve"/>
        </is>
      </c>
      <c r="K15" s="2">
        <v>0</v>
      </c>
      <c r="L15" t="inlineStr">
        <is>
          <t xml:space="preserve">false</t>
        </is>
      </c>
      <c r="M15" t="inlineStr">
        <is>
          <t xml:space="preserve">true</t>
        </is>
      </c>
      <c r="N15" t="inlineStr">
        <is>
          <t xml:space="preserve">false</t>
        </is>
      </c>
    </row>
    <row r="16">
      <c r="A16" t="inlineStr">
        <is>
          <t xml:space="preserve">4700134228</t>
        </is>
      </c>
      <c r="B16" t="inlineStr">
        <is>
          <t xml:space="preserve">Без исходных данных</t>
        </is>
      </c>
      <c r="C16" t="inlineStr">
        <is>
          <t xml:space="preserve">USD</t>
        </is>
      </c>
      <c r="D16" s="2">
        <v>80</v>
      </c>
      <c r="E16" t="inlineStr">
        <is>
          <t xml:space="preserve">Страховые взносы</t>
        </is>
      </c>
      <c r="F16" t="inlineStr">
        <is>
          <t xml:space="preserve">Косвенные</t>
        </is>
      </c>
      <c r="G16" s="2">
        <v>0</v>
      </c>
      <c r="H16" t="inlineStr">
        <is>
          <t xml:space="preserve">rate</t>
        </is>
      </c>
      <c r="I16" t="inlineStr">
        <is>
          <t xml:space="preserve"/>
        </is>
      </c>
      <c r="J16" t="inlineStr">
        <is>
          <t xml:space="preserve"/>
        </is>
      </c>
      <c r="K16" s="2">
        <v>0</v>
      </c>
      <c r="L16" t="inlineStr">
        <is>
          <t xml:space="preserve">false</t>
        </is>
      </c>
      <c r="M16" t="inlineStr">
        <is>
          <t xml:space="preserve">true</t>
        </is>
      </c>
      <c r="N16" t="inlineStr">
        <is>
          <t xml:space="preserve">false</t>
        </is>
      </c>
    </row>
    <row r="17">
      <c r="A17" t="inlineStr">
        <is>
          <t xml:space="preserve">4700134228</t>
        </is>
      </c>
      <c r="B17" t="inlineStr">
        <is>
          <t xml:space="preserve">Без исходных данных</t>
        </is>
      </c>
      <c r="C17" t="inlineStr">
        <is>
          <t xml:space="preserve">USD</t>
        </is>
      </c>
      <c r="D17" s="2">
        <v>80</v>
      </c>
      <c r="E17" t="inlineStr">
        <is>
          <t xml:space="preserve">Резерв на отпуска</t>
        </is>
      </c>
      <c r="F17" t="inlineStr">
        <is>
          <t xml:space="preserve">Косвенные</t>
        </is>
      </c>
      <c r="G17" s="2">
        <v>0</v>
      </c>
      <c r="H17" t="inlineStr">
        <is>
          <t xml:space="preserve">rate</t>
        </is>
      </c>
      <c r="I17" t="inlineStr">
        <is>
          <t xml:space="preserve"/>
        </is>
      </c>
      <c r="J17" t="inlineStr">
        <is>
          <t xml:space="preserve"/>
        </is>
      </c>
      <c r="K17" s="2">
        <v>0</v>
      </c>
      <c r="L17" t="inlineStr">
        <is>
          <t xml:space="preserve">false</t>
        </is>
      </c>
      <c r="M17" t="inlineStr">
        <is>
          <t xml:space="preserve">false</t>
        </is>
      </c>
      <c r="N17" t="inlineStr">
        <is>
          <t xml:space="preserve">false</t>
        </is>
      </c>
    </row>
    <row r="18">
      <c r="A18" t="inlineStr">
        <is>
          <t xml:space="preserve">4700134228</t>
        </is>
      </c>
      <c r="B18" t="inlineStr">
        <is>
          <t xml:space="preserve">Без исходных данных</t>
        </is>
      </c>
      <c r="C18" t="inlineStr">
        <is>
          <t xml:space="preserve">USD</t>
        </is>
      </c>
      <c r="D18" s="2">
        <v>80</v>
      </c>
      <c r="E18" t="inlineStr">
        <is>
          <t xml:space="preserve">Питание</t>
        </is>
      </c>
      <c r="F18" t="inlineStr">
        <is>
          <t xml:space="preserve">Косвенные</t>
        </is>
      </c>
      <c r="G18" s="2">
        <v>0</v>
      </c>
      <c r="H18" t="inlineStr">
        <is>
          <t xml:space="preserve">day</t>
        </is>
      </c>
      <c r="I18" t="inlineStr">
        <is>
          <t xml:space="preserve"/>
        </is>
      </c>
      <c r="J18" t="inlineStr">
        <is>
          <t xml:space="preserve"/>
        </is>
      </c>
      <c r="K18" s="2">
        <v>0</v>
      </c>
      <c r="L18" t="inlineStr">
        <is>
          <t xml:space="preserve">false</t>
        </is>
      </c>
      <c r="M18" t="inlineStr">
        <is>
          <t xml:space="preserve">true</t>
        </is>
      </c>
      <c r="N18" t="inlineStr">
        <is>
          <t xml:space="preserve">true</t>
        </is>
      </c>
    </row>
    <row r="19">
      <c r="A19" t="inlineStr">
        <is>
          <t xml:space="preserve">4700134228</t>
        </is>
      </c>
      <c r="B19" t="inlineStr">
        <is>
          <t xml:space="preserve">Без исходных данных</t>
        </is>
      </c>
      <c r="C19" t="inlineStr">
        <is>
          <t xml:space="preserve">USD</t>
        </is>
      </c>
      <c r="D19" s="2">
        <v>80</v>
      </c>
      <c r="E19" t="inlineStr">
        <is>
          <t xml:space="preserve">Проживание</t>
        </is>
      </c>
      <c r="F19" t="inlineStr">
        <is>
          <t xml:space="preserve">Косвенные</t>
        </is>
      </c>
      <c r="G19" s="2">
        <v>0</v>
      </c>
      <c r="H19" t="inlineStr">
        <is>
          <t xml:space="preserve">day</t>
        </is>
      </c>
      <c r="I19" t="inlineStr">
        <is>
          <t xml:space="preserve"/>
        </is>
      </c>
      <c r="J19" t="inlineStr">
        <is>
          <t xml:space="preserve"/>
        </is>
      </c>
      <c r="K19" s="2">
        <v>0</v>
      </c>
      <c r="L19" t="inlineStr">
        <is>
          <t xml:space="preserve">false</t>
        </is>
      </c>
      <c r="M19" t="inlineStr">
        <is>
          <t xml:space="preserve">true</t>
        </is>
      </c>
      <c r="N19" t="inlineStr">
        <is>
          <t xml:space="preserve">true</t>
        </is>
      </c>
    </row>
    <row r="20">
      <c r="A20" t="inlineStr">
        <is>
          <t xml:space="preserve">4700134228</t>
        </is>
      </c>
      <c r="B20" t="inlineStr">
        <is>
          <t xml:space="preserve">Без исходных данных</t>
        </is>
      </c>
      <c r="C20" t="inlineStr">
        <is>
          <t xml:space="preserve">USD</t>
        </is>
      </c>
      <c r="D20" s="2">
        <v>80</v>
      </c>
      <c r="E20" t="inlineStr">
        <is>
          <t xml:space="preserve">Аренда автобусов</t>
        </is>
      </c>
      <c r="F20" t="inlineStr">
        <is>
          <t xml:space="preserve">Косвенные</t>
        </is>
      </c>
      <c r="G20" s="2">
        <v>0</v>
      </c>
      <c r="H20" t="inlineStr">
        <is>
          <t xml:space="preserve">unit</t>
        </is>
      </c>
      <c r="I20" t="inlineStr">
        <is>
          <t xml:space="preserve"/>
        </is>
      </c>
      <c r="J20" t="inlineStr">
        <is>
          <t xml:space="preserve"/>
        </is>
      </c>
      <c r="K20" s="2">
        <v>0</v>
      </c>
      <c r="L20" t="inlineStr">
        <is>
          <t xml:space="preserve">false</t>
        </is>
      </c>
      <c r="M20" t="inlineStr">
        <is>
          <t xml:space="preserve">true</t>
        </is>
      </c>
      <c r="N20" t="inlineStr">
        <is>
          <t xml:space="preserve">true</t>
        </is>
      </c>
    </row>
    <row r="21">
      <c r="A21" t="inlineStr">
        <is>
          <t xml:space="preserve">4700134228</t>
        </is>
      </c>
      <c r="B21" t="inlineStr">
        <is>
          <t xml:space="preserve">Без исходных данных</t>
        </is>
      </c>
      <c r="C21" t="inlineStr">
        <is>
          <t xml:space="preserve">USD</t>
        </is>
      </c>
      <c r="D21" s="2">
        <v>80</v>
      </c>
      <c r="E21" t="inlineStr">
        <is>
          <t xml:space="preserve">Аренда автомобиля</t>
        </is>
      </c>
      <c r="F21" t="inlineStr">
        <is>
          <t xml:space="preserve">Косвенные</t>
        </is>
      </c>
      <c r="G21" s="2">
        <v>0</v>
      </c>
      <c r="H21" t="inlineStr">
        <is>
          <t xml:space="preserve">unit</t>
        </is>
      </c>
      <c r="I21" t="inlineStr">
        <is>
          <t xml:space="preserve"/>
        </is>
      </c>
      <c r="J21" t="inlineStr">
        <is>
          <t xml:space="preserve"/>
        </is>
      </c>
      <c r="K21" s="2">
        <v>0</v>
      </c>
      <c r="L21" t="inlineStr">
        <is>
          <t xml:space="preserve">false</t>
        </is>
      </c>
      <c r="M21" t="inlineStr">
        <is>
          <t xml:space="preserve">true</t>
        </is>
      </c>
      <c r="N21" t="inlineStr">
        <is>
          <t xml:space="preserve">true</t>
        </is>
      </c>
    </row>
    <row r="22">
      <c r="A22" t="inlineStr">
        <is>
          <t xml:space="preserve">4700134228</t>
        </is>
      </c>
      <c r="B22" t="inlineStr">
        <is>
          <t xml:space="preserve">Без исходных данных</t>
        </is>
      </c>
      <c r="C22" t="inlineStr">
        <is>
          <t xml:space="preserve">USD</t>
        </is>
      </c>
      <c r="D22" s="2">
        <v>80</v>
      </c>
      <c r="E22" t="inlineStr">
        <is>
          <t xml:space="preserve">Аренда опалубки</t>
        </is>
      </c>
      <c r="F22" t="inlineStr">
        <is>
          <t xml:space="preserve">Косвенные</t>
        </is>
      </c>
      <c r="G22" s="2">
        <v>0</v>
      </c>
      <c r="H22" t="inlineStr">
        <is>
          <t xml:space="preserve">manual</t>
        </is>
      </c>
      <c r="I22" t="inlineStr">
        <is>
          <t xml:space="preserve"/>
        </is>
      </c>
      <c r="J22" t="inlineStr">
        <is>
          <t xml:space="preserve"/>
        </is>
      </c>
      <c r="K22" s="2">
        <v>0</v>
      </c>
      <c r="L22" t="inlineStr">
        <is>
          <t xml:space="preserve">false</t>
        </is>
      </c>
      <c r="M22" t="inlineStr">
        <is>
          <t xml:space="preserve">true</t>
        </is>
      </c>
      <c r="N22" t="inlineStr">
        <is>
          <t xml:space="preserve">true</t>
        </is>
      </c>
    </row>
    <row r="23">
      <c r="A23" t="inlineStr">
        <is>
          <t xml:space="preserve">4700134228</t>
        </is>
      </c>
      <c r="B23" t="inlineStr">
        <is>
          <t xml:space="preserve">Без исходных данных</t>
        </is>
      </c>
      <c r="C23" t="inlineStr">
        <is>
          <t xml:space="preserve">USD</t>
        </is>
      </c>
      <c r="D23" s="2">
        <v>80</v>
      </c>
      <c r="E23" t="inlineStr">
        <is>
          <t xml:space="preserve">СИЗы</t>
        </is>
      </c>
      <c r="F23" t="inlineStr">
        <is>
          <t xml:space="preserve">Косвенные</t>
        </is>
      </c>
      <c r="G23" s="2">
        <v>0</v>
      </c>
      <c r="H23" t="inlineStr">
        <is>
          <t xml:space="preserve">annualPerPerson</t>
        </is>
      </c>
      <c r="I23" t="inlineStr">
        <is>
          <t xml:space="preserve"/>
        </is>
      </c>
      <c r="J23" t="inlineStr">
        <is>
          <t xml:space="preserve"/>
        </is>
      </c>
      <c r="K23" s="2">
        <v>0</v>
      </c>
      <c r="L23" t="inlineStr">
        <is>
          <t xml:space="preserve">false</t>
        </is>
      </c>
      <c r="M23" t="inlineStr">
        <is>
          <t xml:space="preserve">true</t>
        </is>
      </c>
      <c r="N23" t="inlineStr">
        <is>
          <t xml:space="preserve">true</t>
        </is>
      </c>
    </row>
    <row r="24">
      <c r="A24" t="inlineStr">
        <is>
          <t xml:space="preserve">4700134228</t>
        </is>
      </c>
      <c r="B24" t="inlineStr">
        <is>
          <t xml:space="preserve">Без исходных данных</t>
        </is>
      </c>
      <c r="C24" t="inlineStr">
        <is>
          <t xml:space="preserve">USD</t>
        </is>
      </c>
      <c r="D24" s="2">
        <v>80</v>
      </c>
      <c r="E24" t="inlineStr">
        <is>
          <t xml:space="preserve">Приобретение билетов</t>
        </is>
      </c>
      <c r="F24" t="inlineStr">
        <is>
          <t xml:space="preserve">Косвенные</t>
        </is>
      </c>
      <c r="G24" s="2">
        <v>0</v>
      </c>
      <c r="H24" t="inlineStr">
        <is>
          <t xml:space="preserve">rotation</t>
        </is>
      </c>
      <c r="I24" t="inlineStr">
        <is>
          <t xml:space="preserve"/>
        </is>
      </c>
      <c r="J24" t="inlineStr">
        <is>
          <t xml:space="preserve"/>
        </is>
      </c>
      <c r="K24" s="2">
        <v>0</v>
      </c>
      <c r="L24" t="inlineStr">
        <is>
          <t xml:space="preserve">false</t>
        </is>
      </c>
      <c r="M24" t="inlineStr">
        <is>
          <t xml:space="preserve">true</t>
        </is>
      </c>
      <c r="N24" t="inlineStr">
        <is>
          <t xml:space="preserve">true</t>
        </is>
      </c>
    </row>
    <row r="25">
      <c r="A25" t="inlineStr">
        <is>
          <t xml:space="preserve">4700134228</t>
        </is>
      </c>
      <c r="B25" t="inlineStr">
        <is>
          <t xml:space="preserve">Без исходных данных</t>
        </is>
      </c>
      <c r="C25" t="inlineStr">
        <is>
          <t xml:space="preserve">USD</t>
        </is>
      </c>
      <c r="D25" s="2">
        <v>80</v>
      </c>
      <c r="E25" t="inlineStr">
        <is>
          <t xml:space="preserve">Разрешение на работу</t>
        </is>
      </c>
      <c r="F25" t="inlineStr">
        <is>
          <t xml:space="preserve">Косвенные</t>
        </is>
      </c>
      <c r="G25" s="2">
        <v>0</v>
      </c>
      <c r="H25" t="inlineStr">
        <is>
          <t xml:space="preserve">perPerson</t>
        </is>
      </c>
      <c r="I25" t="inlineStr">
        <is>
          <t xml:space="preserve"/>
        </is>
      </c>
      <c r="J25" t="inlineStr">
        <is>
          <t xml:space="preserve"/>
        </is>
      </c>
      <c r="K25" s="2">
        <v>0</v>
      </c>
      <c r="L25" t="inlineStr">
        <is>
          <t xml:space="preserve">false</t>
        </is>
      </c>
      <c r="M25" t="inlineStr">
        <is>
          <t xml:space="preserve">true</t>
        </is>
      </c>
      <c r="N25" t="inlineStr">
        <is>
          <t xml:space="preserve">true</t>
        </is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t="inlineStr">
        <is>
          <t xml:space="preserve">USD</t>
        </is>
      </c>
      <c r="D26" s="2">
        <v>80</v>
      </c>
      <c r="E26" t="inlineStr">
        <is>
          <t xml:space="preserve">Медицинские услуги</t>
        </is>
      </c>
      <c r="F26" t="inlineStr">
        <is>
          <t xml:space="preserve">Косвенные</t>
        </is>
      </c>
      <c r="G26" s="2">
        <v>0</v>
      </c>
      <c r="H26" t="inlineStr">
        <is>
          <t xml:space="preserve">perPerson</t>
        </is>
      </c>
      <c r="I26" t="inlineStr">
        <is>
          <t xml:space="preserve"/>
        </is>
      </c>
      <c r="J26" t="inlineStr">
        <is>
          <t xml:space="preserve"/>
        </is>
      </c>
      <c r="K26" s="2">
        <v>0</v>
      </c>
      <c r="L26" t="inlineStr">
        <is>
          <t xml:space="preserve">false</t>
        </is>
      </c>
      <c r="M26" t="inlineStr">
        <is>
          <t xml:space="preserve">true</t>
        </is>
      </c>
      <c r="N26" t="inlineStr">
        <is>
          <t xml:space="preserve">true</t>
        </is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t="inlineStr">
        <is>
          <t xml:space="preserve">USD</t>
        </is>
      </c>
      <c r="D27" s="2">
        <v>80</v>
      </c>
      <c r="E27" t="inlineStr">
        <is>
          <t xml:space="preserve">ВЗиС для ОР</t>
        </is>
      </c>
      <c r="F27" t="inlineStr">
        <is>
          <t xml:space="preserve">Косвенные</t>
        </is>
      </c>
      <c r="G27" s="2">
        <v>0</v>
      </c>
      <c r="H27" t="inlineStr">
        <is>
          <t xml:space="preserve">annualPerPerson</t>
        </is>
      </c>
      <c r="I27" t="inlineStr">
        <is>
          <t xml:space="preserve"/>
        </is>
      </c>
      <c r="J27" t="inlineStr">
        <is>
          <t xml:space="preserve"/>
        </is>
      </c>
      <c r="K27" s="2">
        <v>0</v>
      </c>
      <c r="L27" t="inlineStr">
        <is>
          <t xml:space="preserve">false</t>
        </is>
      </c>
      <c r="M27" t="inlineStr">
        <is>
          <t xml:space="preserve">true</t>
        </is>
      </c>
      <c r="N27" t="inlineStr">
        <is>
          <t xml:space="preserve">true</t>
        </is>
      </c>
    </row>
    <row r="28">
      <c r="A28" t="inlineStr">
        <is>
          <t xml:space="preserve">4700134228</t>
        </is>
      </c>
      <c r="B28" t="inlineStr">
        <is>
          <t xml:space="preserve">Без исходных данных</t>
        </is>
      </c>
      <c r="C28" t="inlineStr">
        <is>
          <t xml:space="preserve">USD</t>
        </is>
      </c>
      <c r="D28" s="2">
        <v>80</v>
      </c>
      <c r="E28" t="inlineStr">
        <is>
          <t xml:space="preserve">Аренда офиса</t>
        </is>
      </c>
      <c r="F28" t="inlineStr">
        <is>
          <t xml:space="preserve">Косвенные</t>
        </is>
      </c>
      <c r="G28" s="2">
        <v>0</v>
      </c>
      <c r="H28" t="inlineStr">
        <is>
          <t xml:space="preserve">monthly</t>
        </is>
      </c>
      <c r="I28" t="inlineStr">
        <is>
          <t xml:space="preserve"/>
        </is>
      </c>
      <c r="J28" t="inlineStr">
        <is>
          <t xml:space="preserve"/>
        </is>
      </c>
      <c r="K28" s="2">
        <v>0</v>
      </c>
      <c r="L28" t="inlineStr">
        <is>
          <t xml:space="preserve">false</t>
        </is>
      </c>
      <c r="M28" t="inlineStr">
        <is>
          <t xml:space="preserve">true</t>
        </is>
      </c>
      <c r="N28" t="inlineStr">
        <is>
          <t xml:space="preserve">true</t>
        </is>
      </c>
    </row>
    <row r="29">
      <c r="A29" t="inlineStr">
        <is>
          <t xml:space="preserve">4700134228</t>
        </is>
      </c>
      <c r="B29" t="inlineStr">
        <is>
          <t xml:space="preserve">Без исходных данных</t>
        </is>
      </c>
      <c r="C29" t="inlineStr">
        <is>
          <t xml:space="preserve">USD</t>
        </is>
      </c>
      <c r="D29" s="2">
        <v>80</v>
      </c>
      <c r="E29" t="inlineStr">
        <is>
          <t xml:space="preserve">Аренда склада</t>
        </is>
      </c>
      <c r="F29" t="inlineStr">
        <is>
          <t xml:space="preserve">Косвенные</t>
        </is>
      </c>
      <c r="G29" s="2">
        <v>0</v>
      </c>
      <c r="H29" t="inlineStr">
        <is>
          <t xml:space="preserve">monthly</t>
        </is>
      </c>
      <c r="I29" t="inlineStr">
        <is>
          <t xml:space="preserve"/>
        </is>
      </c>
      <c r="J29" t="inlineStr">
        <is>
          <t xml:space="preserve"/>
        </is>
      </c>
      <c r="K29" s="2">
        <v>0</v>
      </c>
      <c r="L29" t="inlineStr">
        <is>
          <t xml:space="preserve">false</t>
        </is>
      </c>
      <c r="M29" t="inlineStr">
        <is>
          <t xml:space="preserve">true</t>
        </is>
      </c>
      <c r="N29" t="inlineStr">
        <is>
          <t xml:space="preserve">true</t>
        </is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t="inlineStr">
        <is>
          <t xml:space="preserve">USD</t>
        </is>
      </c>
      <c r="D30" s="2">
        <v>80</v>
      </c>
      <c r="E30" t="inlineStr">
        <is>
          <t xml:space="preserve">Интернет</t>
        </is>
      </c>
      <c r="F30" t="inlineStr">
        <is>
          <t xml:space="preserve">Косвенные</t>
        </is>
      </c>
      <c r="G30" s="2">
        <v>0</v>
      </c>
      <c r="H30" t="inlineStr">
        <is>
          <t xml:space="preserve">monthly</t>
        </is>
      </c>
      <c r="I30" t="inlineStr">
        <is>
          <t xml:space="preserve"/>
        </is>
      </c>
      <c r="J30" t="inlineStr">
        <is>
          <t xml:space="preserve"/>
        </is>
      </c>
      <c r="K30" s="2">
        <v>0</v>
      </c>
      <c r="L30" t="inlineStr">
        <is>
          <t xml:space="preserve">false</t>
        </is>
      </c>
      <c r="M30" t="inlineStr">
        <is>
          <t xml:space="preserve">true</t>
        </is>
      </c>
      <c r="N30" t="inlineStr">
        <is>
          <t xml:space="preserve">true</t>
        </is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t="inlineStr">
        <is>
          <t xml:space="preserve">USD</t>
        </is>
      </c>
      <c r="D31" s="2">
        <v>80</v>
      </c>
      <c r="E31" t="inlineStr">
        <is>
          <t xml:space="preserve">Обращение с ТБО и ЖБО</t>
        </is>
      </c>
      <c r="F31" t="inlineStr">
        <is>
          <t xml:space="preserve">Косвенные</t>
        </is>
      </c>
      <c r="G31" s="2">
        <v>0</v>
      </c>
      <c r="H31" t="inlineStr">
        <is>
          <t xml:space="preserve">monthly</t>
        </is>
      </c>
      <c r="I31" t="inlineStr">
        <is>
          <t xml:space="preserve"/>
        </is>
      </c>
      <c r="J31" t="inlineStr">
        <is>
          <t xml:space="preserve"/>
        </is>
      </c>
      <c r="K31" s="2">
        <v>0</v>
      </c>
      <c r="L31" t="inlineStr">
        <is>
          <t xml:space="preserve">false</t>
        </is>
      </c>
      <c r="M31" t="inlineStr">
        <is>
          <t xml:space="preserve">true</t>
        </is>
      </c>
      <c r="N31" t="inlineStr">
        <is>
          <t xml:space="preserve">true</t>
        </is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t="inlineStr">
        <is>
          <t xml:space="preserve">USD</t>
        </is>
      </c>
      <c r="D32" s="2">
        <v>80</v>
      </c>
      <c r="E32" t="inlineStr">
        <is>
          <t xml:space="preserve">Охрана труда</t>
        </is>
      </c>
      <c r="F32" t="inlineStr">
        <is>
          <t xml:space="preserve">Косвенные</t>
        </is>
      </c>
      <c r="G32" s="2">
        <v>0</v>
      </c>
      <c r="H32" t="inlineStr">
        <is>
          <t xml:space="preserve">percentPayroll</t>
        </is>
      </c>
      <c r="I32" t="inlineStr">
        <is>
          <t xml:space="preserve"/>
        </is>
      </c>
      <c r="J32" t="inlineStr">
        <is>
          <t xml:space="preserve"/>
        </is>
      </c>
      <c r="K32" s="2">
        <v>0</v>
      </c>
      <c r="L32" t="inlineStr">
        <is>
          <t xml:space="preserve">false</t>
        </is>
      </c>
      <c r="M32" t="inlineStr">
        <is>
          <t xml:space="preserve">true</t>
        </is>
      </c>
      <c r="N32" t="inlineStr">
        <is>
          <t xml:space="preserve">true</t>
        </is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t="inlineStr">
        <is>
          <t xml:space="preserve">USD</t>
        </is>
      </c>
      <c r="D33" s="2">
        <v>80</v>
      </c>
      <c r="E33" t="inlineStr">
        <is>
          <t xml:space="preserve">Страхование от НС</t>
        </is>
      </c>
      <c r="F33" t="inlineStr">
        <is>
          <t xml:space="preserve">Косвенные</t>
        </is>
      </c>
      <c r="G33" s="2">
        <v>0</v>
      </c>
      <c r="H33" t="inlineStr">
        <is>
          <t xml:space="preserve">annualPerPerson</t>
        </is>
      </c>
      <c r="I33" t="inlineStr">
        <is>
          <t xml:space="preserve"/>
        </is>
      </c>
      <c r="J33" t="inlineStr">
        <is>
          <t xml:space="preserve"/>
        </is>
      </c>
      <c r="K33" s="2">
        <v>0</v>
      </c>
      <c r="L33" t="inlineStr">
        <is>
          <t xml:space="preserve">false</t>
        </is>
      </c>
      <c r="M33" t="inlineStr">
        <is>
          <t xml:space="preserve">true</t>
        </is>
      </c>
      <c r="N33" t="inlineStr">
        <is>
          <t xml:space="preserve">true</t>
        </is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t="inlineStr">
        <is>
          <t xml:space="preserve">USD</t>
        </is>
      </c>
      <c r="D34" s="2">
        <v>80</v>
      </c>
      <c r="E34" t="inlineStr">
        <is>
          <t xml:space="preserve">IT-материалы</t>
        </is>
      </c>
      <c r="F34" t="inlineStr">
        <is>
          <t xml:space="preserve">Косвенные</t>
        </is>
      </c>
      <c r="G34" s="2">
        <v>0</v>
      </c>
      <c r="H34" t="inlineStr">
        <is>
          <t xml:space="preserve">manual</t>
        </is>
      </c>
      <c r="I34" t="inlineStr">
        <is>
          <t xml:space="preserve"/>
        </is>
      </c>
      <c r="J34" t="inlineStr">
        <is>
          <t xml:space="preserve"/>
        </is>
      </c>
      <c r="K34" s="2">
        <v>0</v>
      </c>
      <c r="L34" t="inlineStr">
        <is>
          <t xml:space="preserve">false</t>
        </is>
      </c>
      <c r="M34" t="inlineStr">
        <is>
          <t xml:space="preserve">true</t>
        </is>
      </c>
      <c r="N34" t="inlineStr">
        <is>
          <t xml:space="preserve">true</t>
        </is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t="inlineStr">
        <is>
          <t xml:space="preserve">USD</t>
        </is>
      </c>
      <c r="D35" s="2">
        <v>80</v>
      </c>
      <c r="E35" t="inlineStr">
        <is>
          <t xml:space="preserve">Приобретение контейнеров</t>
        </is>
      </c>
      <c r="F35" t="inlineStr">
        <is>
          <t xml:space="preserve">Косвенные</t>
        </is>
      </c>
      <c r="G35" s="2">
        <v>0</v>
      </c>
      <c r="H35" t="inlineStr">
        <is>
          <t xml:space="preserve">manual</t>
        </is>
      </c>
      <c r="I35" t="inlineStr">
        <is>
          <t xml:space="preserve"/>
        </is>
      </c>
      <c r="J35" t="inlineStr">
        <is>
          <t xml:space="preserve"/>
        </is>
      </c>
      <c r="K35" s="2">
        <v>0</v>
      </c>
      <c r="L35" t="inlineStr">
        <is>
          <t xml:space="preserve">false</t>
        </is>
      </c>
      <c r="M35" t="inlineStr">
        <is>
          <t xml:space="preserve">true</t>
        </is>
      </c>
      <c r="N35" t="inlineStr">
        <is>
          <t xml:space="preserve">true</t>
        </is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t="inlineStr">
        <is>
          <t xml:space="preserve">USD</t>
        </is>
      </c>
      <c r="D36" s="2">
        <v>80</v>
      </c>
      <c r="E36" t="inlineStr">
        <is>
          <t xml:space="preserve">Приобретение модульного офиса</t>
        </is>
      </c>
      <c r="F36" t="inlineStr">
        <is>
          <t xml:space="preserve">Косвенные</t>
        </is>
      </c>
      <c r="G36" s="2">
        <v>0</v>
      </c>
      <c r="H36" t="inlineStr">
        <is>
          <t xml:space="preserve">manual</t>
        </is>
      </c>
      <c r="I36" t="inlineStr">
        <is>
          <t xml:space="preserve"/>
        </is>
      </c>
      <c r="J36" t="inlineStr">
        <is>
          <t xml:space="preserve"/>
        </is>
      </c>
      <c r="K36" s="2">
        <v>0</v>
      </c>
      <c r="L36" t="inlineStr">
        <is>
          <t xml:space="preserve">false</t>
        </is>
      </c>
      <c r="M36" t="inlineStr">
        <is>
          <t xml:space="preserve">true</t>
        </is>
      </c>
      <c r="N36" t="inlineStr">
        <is>
          <t xml:space="preserve">true</t>
        </is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t="inlineStr">
        <is>
          <t xml:space="preserve">USD</t>
        </is>
      </c>
      <c r="D37" s="2">
        <v>80</v>
      </c>
      <c r="E37" t="inlineStr">
        <is>
          <t xml:space="preserve">Транспортные услуги</t>
        </is>
      </c>
      <c r="F37" t="inlineStr">
        <is>
          <t xml:space="preserve">Косвенные</t>
        </is>
      </c>
      <c r="G37" s="2">
        <v>0</v>
      </c>
      <c r="H37" t="inlineStr">
        <is>
          <t xml:space="preserve">manual</t>
        </is>
      </c>
      <c r="I37" t="inlineStr">
        <is>
          <t xml:space="preserve"/>
        </is>
      </c>
      <c r="J37" t="inlineStr">
        <is>
          <t xml:space="preserve"/>
        </is>
      </c>
      <c r="K37" s="2">
        <v>0</v>
      </c>
      <c r="L37" t="inlineStr">
        <is>
          <t xml:space="preserve">false</t>
        </is>
      </c>
      <c r="M37" t="inlineStr">
        <is>
          <t xml:space="preserve">true</t>
        </is>
      </c>
      <c r="N37" t="inlineStr">
        <is>
          <t xml:space="preserve">true</t>
        </is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t="inlineStr">
        <is>
          <t xml:space="preserve">USD</t>
        </is>
      </c>
      <c r="D38" s="2">
        <v>80</v>
      </c>
      <c r="E38" t="inlineStr">
        <is>
          <t xml:space="preserve">Прочие косвенные расходы</t>
        </is>
      </c>
      <c r="F38" t="inlineStr">
        <is>
          <t xml:space="preserve">Косвенные</t>
        </is>
      </c>
      <c r="G38" s="2">
        <v>0</v>
      </c>
      <c r="H38" t="inlineStr">
        <is>
          <t xml:space="preserve">percentDirect</t>
        </is>
      </c>
      <c r="I38" t="inlineStr">
        <is>
          <t xml:space="preserve"/>
        </is>
      </c>
      <c r="J38" t="inlineStr">
        <is>
          <t xml:space="preserve"/>
        </is>
      </c>
      <c r="K38" s="2">
        <v>0</v>
      </c>
      <c r="L38" t="inlineStr">
        <is>
          <t xml:space="preserve">false</t>
        </is>
      </c>
      <c r="M38" t="inlineStr">
        <is>
          <t xml:space="preserve">true</t>
        </is>
      </c>
      <c r="N38" t="inlineStr">
        <is>
          <t xml:space="preserve">true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</sheetView>
  </sheetViews>
  <cols>
    <col min="1" max="1" width="20" customWidth="1"/>
    <col min="2" max="2" width="32" customWidth="1"/>
    <col min="3" max="3" width="27" customWidth="1"/>
    <col min="4" max="20" width="17" customWidth="1"/>
  </cols>
  <sheetData>
    <row r="1">
      <c r="A1" s="1" t="inlineStr">
        <is>
          <t xml:space="preserve">Договор</t>
        </is>
      </c>
      <c r="B1" s="1" t="inlineStr">
        <is>
          <t xml:space="preserve">Версия</t>
        </is>
      </c>
      <c r="C1" s="1" t="inlineStr">
        <is>
          <t xml:space="preserve">Год</t>
        </is>
      </c>
      <c r="D1" s="1" t="inlineStr">
        <is>
          <t xml:space="preserve">Валюта</t>
        </is>
      </c>
      <c r="E1" s="1" t="inlineStr">
        <is>
          <t xml:space="preserve">Курс к RUB</t>
        </is>
      </c>
      <c r="F1" s="1" t="inlineStr">
        <is>
          <t xml:space="preserve">Показатель</t>
        </is>
      </c>
      <c r="G1" s="1" t="inlineStr">
        <is>
          <t xml:space="preserve">Янв</t>
        </is>
      </c>
      <c r="H1" s="1" t="inlineStr">
        <is>
          <t xml:space="preserve">Фев</t>
        </is>
      </c>
      <c r="I1" s="1" t="inlineStr">
        <is>
          <t xml:space="preserve">Мар</t>
        </is>
      </c>
      <c r="J1" s="1" t="inlineStr">
        <is>
          <t xml:space="preserve">Апр</t>
        </is>
      </c>
      <c r="K1" s="1" t="inlineStr">
        <is>
          <t xml:space="preserve">Май</t>
        </is>
      </c>
      <c r="L1" s="1" t="inlineStr">
        <is>
          <t xml:space="preserve">Июн</t>
        </is>
      </c>
      <c r="M1" s="1" t="inlineStr">
        <is>
          <t xml:space="preserve">Июл</t>
        </is>
      </c>
      <c r="N1" s="1" t="inlineStr">
        <is>
          <t xml:space="preserve">Авг</t>
        </is>
      </c>
      <c r="O1" s="1" t="inlineStr">
        <is>
          <t xml:space="preserve">Сен</t>
        </is>
      </c>
      <c r="P1" s="1" t="inlineStr">
        <is>
          <t xml:space="preserve">Окт</t>
        </is>
      </c>
      <c r="Q1" s="1" t="inlineStr">
        <is>
          <t xml:space="preserve">Ноя</t>
        </is>
      </c>
      <c r="R1" s="1" t="inlineStr">
        <is>
          <t xml:space="preserve">Дек</t>
        </is>
      </c>
      <c r="S1" s="1" t="inlineStr">
        <is>
          <t xml:space="preserve">Итого / конец года</t>
        </is>
      </c>
    </row>
    <row r="2">
      <c r="A2" s="4" t="inlineStr">
        <is>
          <t xml:space="preserve">4700134228</t>
        </is>
      </c>
      <c r="B2" s="4" t="inlineStr">
        <is>
          <t xml:space="preserve">Без исходных данных</t>
        </is>
      </c>
      <c r="C2" s="4">
        <v>2026</v>
      </c>
      <c r="D2" s="4" t="inlineStr">
        <is>
          <t xml:space="preserve">USD</t>
        </is>
      </c>
      <c r="E2" s="4">
        <v>80</v>
      </c>
      <c r="F2" s="4" t="inlineStr">
        <is>
          <t xml:space="preserve">Источник: Физический объём выполнения (КСГ / KQ-2)</t>
        </is>
      </c>
      <c r="G2" s="4">
        <v>8880.160000000002</v>
      </c>
      <c r="H2" s="4">
        <v>7032.24</v>
      </c>
      <c r="I2" s="4">
        <v>10582.28</v>
      </c>
      <c r="J2" s="4">
        <v>9278.360000000002</v>
      </c>
      <c r="K2" s="4">
        <v>4727.799999999999</v>
      </c>
      <c r="L2" s="4">
        <v>6371.719999999999</v>
      </c>
      <c r="M2" s="4">
        <v>2176.54</v>
      </c>
      <c r="N2" s="4">
        <v>7165.499999999999</v>
      </c>
      <c r="O2" s="4">
        <v>6542.160000000001</v>
      </c>
      <c r="P2" s="4">
        <v>19045.679999999997</v>
      </c>
      <c r="Q2" s="4">
        <v>59445.10000000001</v>
      </c>
      <c r="R2" s="4">
        <v>59872.15999999999</v>
      </c>
      <c r="S2" s="4">
        <v>201119.7</v>
      </c>
    </row>
    <row r="3">
      <c r="A3" s="4" t="inlineStr">
        <is>
          <t xml:space="preserve">4700134228</t>
        </is>
      </c>
      <c r="B3" s="4" t="inlineStr">
        <is>
          <t xml:space="preserve">Без исходных данных</t>
        </is>
      </c>
      <c r="C3" s="4">
        <v>2026</v>
      </c>
      <c r="D3" s="4" t="inlineStr">
        <is>
          <t xml:space="preserve">USD</t>
        </is>
      </c>
      <c r="E3" s="4">
        <v>80</v>
      </c>
      <c r="F3" s="4" t="inlineStr">
        <is>
          <t xml:space="preserve">Источник: Расценка BOQ на единицу KQ-2</t>
        </is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</row>
    <row r="4">
      <c r="A4" s="4" t="inlineStr">
        <is>
          <t xml:space="preserve">4700134228</t>
        </is>
      </c>
      <c r="B4" s="4" t="inlineStr">
        <is>
          <t xml:space="preserve">Без исходных данных</t>
        </is>
      </c>
      <c r="C4" s="4">
        <v>2026</v>
      </c>
      <c r="D4" s="4" t="inlineStr">
        <is>
          <t xml:space="preserve">USD</t>
        </is>
      </c>
      <c r="E4" s="4">
        <v>80</v>
      </c>
      <c r="F4" s="4" t="inlineStr">
        <is>
          <t xml:space="preserve">Источник: Выполнение в денежном выражении (ручной ряд)</t>
        </is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</row>
    <row r="5">
      <c r="A5" s="4" t="inlineStr">
        <is>
          <t xml:space="preserve">4700134228</t>
        </is>
      </c>
      <c r="B5" s="4" t="inlineStr">
        <is>
          <t xml:space="preserve">Без исходных данных</t>
        </is>
      </c>
      <c r="C5" s="4">
        <v>2026</v>
      </c>
      <c r="D5" s="4" t="inlineStr">
        <is>
          <t xml:space="preserve">USD</t>
        </is>
      </c>
      <c r="E5" s="4">
        <v>80</v>
      </c>
      <c r="F5" s="4" t="inlineStr">
        <is>
          <t xml:space="preserve">Источник: Прочие доходы</t>
        </is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</row>
    <row r="6">
      <c r="A6" s="4" t="inlineStr">
        <is>
          <t xml:space="preserve">4700134228</t>
        </is>
      </c>
      <c r="B6" s="4" t="inlineStr">
        <is>
          <t xml:space="preserve">Без исходных данных</t>
        </is>
      </c>
      <c r="C6" s="4">
        <v>2026</v>
      </c>
      <c r="D6" s="4" t="inlineStr">
        <is>
          <t xml:space="preserve">USD</t>
        </is>
      </c>
      <c r="E6" s="4">
        <v>80</v>
      </c>
      <c r="F6" s="4" t="inlineStr">
        <is>
          <t xml:space="preserve">Источник: Материалы</t>
        </is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</row>
    <row r="7">
      <c r="A7" s="4" t="inlineStr">
        <is>
          <t xml:space="preserve">4700134228</t>
        </is>
      </c>
      <c r="B7" s="4" t="inlineStr">
        <is>
          <t xml:space="preserve">Без исходных данных</t>
        </is>
      </c>
      <c r="C7" s="4">
        <v>2026</v>
      </c>
      <c r="D7" s="4" t="inlineStr">
        <is>
          <t xml:space="preserve">USD</t>
        </is>
      </c>
      <c r="E7" s="4">
        <v>80</v>
      </c>
      <c r="F7" s="4" t="inlineStr">
        <is>
          <t xml:space="preserve">Источник: Основной персонал, FTE</t>
        </is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</row>
    <row r="8">
      <c r="A8" s="4" t="inlineStr">
        <is>
          <t xml:space="preserve">4700134228</t>
        </is>
      </c>
      <c r="B8" s="4" t="inlineStr">
        <is>
          <t xml:space="preserve">Без исходных данных</t>
        </is>
      </c>
      <c r="C8" s="4">
        <v>2026</v>
      </c>
      <c r="D8" s="4" t="inlineStr">
        <is>
          <t xml:space="preserve">USD</t>
        </is>
      </c>
      <c r="E8" s="4">
        <v>80</v>
      </c>
      <c r="F8" s="4" t="inlineStr">
        <is>
          <t xml:space="preserve">Источник: Вспомогательный персонал, FTE</t>
        </is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</row>
    <row r="9">
      <c r="A9" s="4" t="inlineStr">
        <is>
          <t xml:space="preserve">4700134228</t>
        </is>
      </c>
      <c r="B9" s="4" t="inlineStr">
        <is>
          <t xml:space="preserve">Без исходных данных</t>
        </is>
      </c>
      <c r="C9" s="4">
        <v>2026</v>
      </c>
      <c r="D9" s="4" t="inlineStr">
        <is>
          <t xml:space="preserve">USD</t>
        </is>
      </c>
      <c r="E9" s="4">
        <v>80</v>
      </c>
      <c r="F9" s="4" t="inlineStr">
        <is>
          <t xml:space="preserve">Источник: Косвенный персонал, FTE</t>
        </is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</row>
    <row r="10">
      <c r="A10" s="4" t="inlineStr">
        <is>
          <t xml:space="preserve">4700134228</t>
        </is>
      </c>
      <c r="B10" s="4" t="inlineStr">
        <is>
          <t xml:space="preserve">Без исходных данных</t>
        </is>
      </c>
      <c r="C10" s="4">
        <v>2026</v>
      </c>
      <c r="D10" s="4" t="inlineStr">
        <is>
          <t xml:space="preserve">USD</t>
        </is>
      </c>
      <c r="E10" s="4">
        <v>80</v>
      </c>
      <c r="F10" s="4" t="inlineStr">
        <is>
          <t xml:space="preserve">Источник: Трудоёмкость для бытовых расходов, чел.</t>
        </is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</row>
    <row r="11">
      <c r="A11" s="4" t="inlineStr">
        <is>
          <t xml:space="preserve">4700134228</t>
        </is>
      </c>
      <c r="B11" s="4" t="inlineStr">
        <is>
          <t xml:space="preserve">Без исходных данных</t>
        </is>
      </c>
      <c r="C11" s="4">
        <v>2026</v>
      </c>
      <c r="D11" s="4" t="inlineStr">
        <is>
          <t xml:space="preserve">USD</t>
        </is>
      </c>
      <c r="E11" s="4">
        <v>80</v>
      </c>
      <c r="F11" s="4" t="inlineStr">
        <is>
          <t xml:space="preserve">Источник: Дней по календарю исходной модели</t>
        </is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</row>
    <row r="12">
      <c r="A12" s="4" t="inlineStr">
        <is>
          <t xml:space="preserve">4700134228</t>
        </is>
      </c>
      <c r="B12" s="4" t="inlineStr">
        <is>
          <t xml:space="preserve">Без исходных данных</t>
        </is>
      </c>
      <c r="C12" s="4">
        <v>2026</v>
      </c>
      <c r="D12" s="4" t="inlineStr">
        <is>
          <t xml:space="preserve">USD</t>
        </is>
      </c>
      <c r="E12" s="4">
        <v>80</v>
      </c>
      <c r="F12" s="4" t="inlineStr">
        <is>
          <t xml:space="preserve">Источник: Пассивно неработающие, чел.</t>
        </is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</row>
    <row r="13">
      <c r="A13" s="4" t="inlineStr">
        <is>
          <t xml:space="preserve">4700134228</t>
        </is>
      </c>
      <c r="B13" s="4" t="inlineStr">
        <is>
          <t xml:space="preserve">Без исходных данных</t>
        </is>
      </c>
      <c r="C13" s="4">
        <v>2026</v>
      </c>
      <c r="D13" s="4" t="inlineStr">
        <is>
          <t xml:space="preserve">USD</t>
        </is>
      </c>
      <c r="E13" s="4">
        <v>80</v>
      </c>
      <c r="F13" s="4" t="inlineStr">
        <is>
          <t xml:space="preserve">Источник: Лесовики, чел.</t>
        </is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</row>
    <row r="14">
      <c r="A14" s="4" t="inlineStr">
        <is>
          <t xml:space="preserve">4700134228</t>
        </is>
      </c>
      <c r="B14" s="4" t="inlineStr">
        <is>
          <t xml:space="preserve">Без исходных данных</t>
        </is>
      </c>
      <c r="C14" s="4">
        <v>2026</v>
      </c>
      <c r="D14" s="4" t="inlineStr">
        <is>
          <t xml:space="preserve">USD</t>
        </is>
      </c>
      <c r="E14" s="4">
        <v>80</v>
      </c>
      <c r="F14" s="4" t="inlineStr">
        <is>
          <t xml:space="preserve">Источник: Техника, маш.-ч</t>
        </is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</row>
    <row r="15">
      <c r="A15" s="4" t="inlineStr">
        <is>
          <t xml:space="preserve">4700134228</t>
        </is>
      </c>
      <c r="B15" s="4" t="inlineStr">
        <is>
          <t xml:space="preserve">Без исходных данных</t>
        </is>
      </c>
      <c r="C15" s="4">
        <v>2026</v>
      </c>
      <c r="D15" s="4" t="inlineStr">
        <is>
          <t xml:space="preserve">USD</t>
        </is>
      </c>
      <c r="E15" s="4">
        <v>80</v>
      </c>
      <c r="F15" s="4" t="inlineStr">
        <is>
          <t xml:space="preserve">Источник: Объём НРК, ед.</t>
        </is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</row>
    <row r="16">
      <c r="A16" s="4" t="inlineStr">
        <is>
          <t xml:space="preserve">4700134228</t>
        </is>
      </c>
      <c r="B16" s="4" t="inlineStr">
        <is>
          <t xml:space="preserve">Без исходных данных</t>
        </is>
      </c>
      <c r="C16" s="4">
        <v>2026</v>
      </c>
      <c r="D16" s="4" t="inlineStr">
        <is>
          <t xml:space="preserve">USD</t>
        </is>
      </c>
      <c r="E16" s="4">
        <v>80</v>
      </c>
      <c r="F16" s="4" t="inlineStr">
        <is>
          <t xml:space="preserve">Источник: Оплата за работы с НДС</t>
        </is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</row>
    <row r="17">
      <c r="A17" s="4" t="inlineStr">
        <is>
          <t xml:space="preserve">4700134228</t>
        </is>
      </c>
      <c r="B17" s="4" t="inlineStr">
        <is>
          <t xml:space="preserve">Без исходных данных</t>
        </is>
      </c>
      <c r="C17" s="4">
        <v>2026</v>
      </c>
      <c r="D17" s="4" t="inlineStr">
        <is>
          <t xml:space="preserve">USD</t>
        </is>
      </c>
      <c r="E17" s="4">
        <v>80</v>
      </c>
      <c r="F17" s="4" t="inlineStr">
        <is>
          <t xml:space="preserve">Источник: Полученные авансы с НДС</t>
        </is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</row>
    <row r="18">
      <c r="A18" s="4" t="inlineStr">
        <is>
          <t xml:space="preserve">4700134228</t>
        </is>
      </c>
      <c r="B18" s="4" t="inlineStr">
        <is>
          <t xml:space="preserve">Без исходных данных</t>
        </is>
      </c>
      <c r="C18" s="4">
        <v>2026</v>
      </c>
      <c r="D18" s="4" t="inlineStr">
        <is>
          <t xml:space="preserve">USD</t>
        </is>
      </c>
      <c r="E18" s="4">
        <v>80</v>
      </c>
      <c r="F18" s="4" t="inlineStr">
        <is>
          <t xml:space="preserve">Источник: Зачёт авансов с НДС</t>
        </is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</row>
    <row r="19">
      <c r="A19" s="4" t="inlineStr">
        <is>
          <t xml:space="preserve">4700134228</t>
        </is>
      </c>
      <c r="B19" s="4" t="inlineStr">
        <is>
          <t xml:space="preserve">Без исходных данных</t>
        </is>
      </c>
      <c r="C19" s="4">
        <v>2026</v>
      </c>
      <c r="D19" s="4" t="inlineStr">
        <is>
          <t xml:space="preserve">USD</t>
        </is>
      </c>
      <c r="E19" s="4">
        <v>80</v>
      </c>
      <c r="F19" s="4" t="inlineStr">
        <is>
          <t xml:space="preserve">Источник: Поступления факторинга</t>
        </is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</row>
    <row r="20">
      <c r="A20" s="3" t="inlineStr">
        <is>
          <t xml:space="preserve">4700134228</t>
        </is>
      </c>
      <c r="B20" s="3" t="inlineStr">
        <is>
          <t xml:space="preserve">Без исходных данных</t>
        </is>
      </c>
      <c r="C20" s="3">
        <v>2026</v>
      </c>
      <c r="D20" s="3" t="inlineStr">
        <is>
          <t xml:space="preserve">USD</t>
        </is>
      </c>
      <c r="E20" s="3">
        <v>80</v>
      </c>
      <c r="F20" s="3" t="inlineStr">
        <is>
          <t xml:space="preserve">Доходы</t>
        </is>
      </c>
      <c r="G20" s="3">
        <v>6009188.245655865</v>
      </c>
      <c r="H20" s="3">
        <v>6326310.065261915</v>
      </c>
      <c r="I20" s="3">
        <v>7192962.040909068</v>
      </c>
      <c r="J20" s="3">
        <v>7719049.553621543</v>
      </c>
      <c r="K20" s="3">
        <v>5505821.553424569</v>
      </c>
      <c r="L20" s="3">
        <v>9987823.64153884</v>
      </c>
      <c r="M20" s="3">
        <v>6691447.283210083</v>
      </c>
      <c r="N20" s="3">
        <v>5821714.1066337265</v>
      </c>
      <c r="O20" s="3">
        <v>7166557.134399284</v>
      </c>
      <c r="P20" s="3">
        <v>10354368.854407901</v>
      </c>
      <c r="Q20" s="3">
        <v>15683364.331498714</v>
      </c>
      <c r="R20" s="3">
        <v>14091759.611429863</v>
      </c>
      <c r="S20" s="3">
        <f>SUM(G20:R20)</f>
        <v>102550366.42199138</v>
      </c>
    </row>
    <row r="21">
      <c r="A21" s="3" t="inlineStr">
        <is>
          <t xml:space="preserve">4700134228</t>
        </is>
      </c>
      <c r="B21" s="3" t="inlineStr">
        <is>
          <t xml:space="preserve">Без исходных данных</t>
        </is>
      </c>
      <c r="C21" s="3">
        <v>2026</v>
      </c>
      <c r="D21" s="3" t="inlineStr">
        <is>
          <t xml:space="preserve">USD</t>
        </is>
      </c>
      <c r="E21" s="3">
        <v>80</v>
      </c>
      <c r="F21" s="3" t="inlineStr">
        <is>
          <t xml:space="preserve">Прямые расходы</t>
        </is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f>SUM(G21:R21)</f>
        <v>0</v>
      </c>
    </row>
    <row r="22">
      <c r="A22" s="3" t="inlineStr">
        <is>
          <t xml:space="preserve">4700134228</t>
        </is>
      </c>
      <c r="B22" s="3" t="inlineStr">
        <is>
          <t xml:space="preserve">Без исходных данных</t>
        </is>
      </c>
      <c r="C22" s="3">
        <v>2026</v>
      </c>
      <c r="D22" s="3" t="inlineStr">
        <is>
          <t xml:space="preserve">USD</t>
        </is>
      </c>
      <c r="E22" s="3">
        <v>80</v>
      </c>
      <c r="F22" s="3" t="inlineStr">
        <is>
          <t xml:space="preserve">Косвенные расходы</t>
        </is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f>SUM(G22:R22)</f>
        <v>0</v>
      </c>
    </row>
    <row r="23">
      <c r="A23" s="3" t="inlineStr">
        <is>
          <t xml:space="preserve">4700134228</t>
        </is>
      </c>
      <c r="B23" s="3" t="inlineStr">
        <is>
          <t xml:space="preserve">Без исходных данных</t>
        </is>
      </c>
      <c r="C23" s="3">
        <v>2026</v>
      </c>
      <c r="D23" s="3" t="inlineStr">
        <is>
          <t xml:space="preserve">USD</t>
        </is>
      </c>
      <c r="E23" s="3">
        <v>80</v>
      </c>
      <c r="F23" s="3" t="inlineStr">
        <is>
          <t xml:space="preserve">Расходы</t>
        </is>
      </c>
      <c r="G23" s="3">
        <f>G21+G22</f>
        <v>0</v>
      </c>
      <c r="H23" s="3">
        <f>H21+H22</f>
        <v>0</v>
      </c>
      <c r="I23" s="3">
        <f>I21+I22</f>
        <v>0</v>
      </c>
      <c r="J23" s="3">
        <f>J21+J22</f>
        <v>0</v>
      </c>
      <c r="K23" s="3">
        <f>K21+K22</f>
        <v>0</v>
      </c>
      <c r="L23" s="3">
        <f>L21+L22</f>
        <v>0</v>
      </c>
      <c r="M23" s="3">
        <f>M21+M22</f>
        <v>0</v>
      </c>
      <c r="N23" s="3">
        <f>N21+N22</f>
        <v>0</v>
      </c>
      <c r="O23" s="3">
        <f>O21+O22</f>
        <v>0</v>
      </c>
      <c r="P23" s="3">
        <f>P21+P22</f>
        <v>0</v>
      </c>
      <c r="Q23" s="3">
        <f>Q21+Q22</f>
        <v>0</v>
      </c>
      <c r="R23" s="3">
        <f>R21+R22</f>
        <v>0</v>
      </c>
      <c r="S23" s="3">
        <f>SUM(G23:R23)</f>
        <v>0</v>
      </c>
    </row>
    <row r="24">
      <c r="A24" s="3" t="inlineStr">
        <is>
          <t xml:space="preserve">4700134228</t>
        </is>
      </c>
      <c r="B24" s="3" t="inlineStr">
        <is>
          <t xml:space="preserve">Без исходных данных</t>
        </is>
      </c>
      <c r="C24" s="3">
        <v>2026</v>
      </c>
      <c r="D24" s="3" t="inlineStr">
        <is>
          <t xml:space="preserve">USD</t>
        </is>
      </c>
      <c r="E24" s="3">
        <v>80</v>
      </c>
      <c r="F24" s="3" t="inlineStr">
        <is>
          <t xml:space="preserve">Финансовый результат</t>
        </is>
      </c>
      <c r="G24" s="3">
        <f>G20-G23</f>
        <v>6009188.245655865</v>
      </c>
      <c r="H24" s="3">
        <f>H20-H23</f>
        <v>6326310.065261915</v>
      </c>
      <c r="I24" s="3">
        <f>I20-I23</f>
        <v>7192962.040909068</v>
      </c>
      <c r="J24" s="3">
        <f>J20-J23</f>
        <v>7719049.553621543</v>
      </c>
      <c r="K24" s="3">
        <f>K20-K23</f>
        <v>5505821.553424569</v>
      </c>
      <c r="L24" s="3">
        <f>L20-L23</f>
        <v>9987823.64153884</v>
      </c>
      <c r="M24" s="3">
        <f>M20-M23</f>
        <v>6691447.283210083</v>
      </c>
      <c r="N24" s="3">
        <f>N20-N23</f>
        <v>5821714.1066337265</v>
      </c>
      <c r="O24" s="3">
        <f>O20-O23</f>
        <v>7166557.134399284</v>
      </c>
      <c r="P24" s="3">
        <f>P20-P23</f>
        <v>10354368.854407901</v>
      </c>
      <c r="Q24" s="3">
        <f>Q20-Q23</f>
        <v>15683364.331498714</v>
      </c>
      <c r="R24" s="3">
        <f>R20-R23</f>
        <v>14091759.611429863</v>
      </c>
      <c r="S24" s="3">
        <f>SUM(G24:R24)</f>
        <v>102550366.42199138</v>
      </c>
    </row>
    <row r="25">
      <c r="A25" s="3" t="inlineStr">
        <is>
          <t xml:space="preserve">4700134228</t>
        </is>
      </c>
      <c r="B25" s="3" t="inlineStr">
        <is>
          <t xml:space="preserve">Без исходных данных</t>
        </is>
      </c>
      <c r="C25" s="3">
        <v>2026</v>
      </c>
      <c r="D25" s="3" t="inlineStr">
        <is>
          <t xml:space="preserve">USD</t>
        </is>
      </c>
      <c r="E25" s="3">
        <v>80</v>
      </c>
      <c r="F25" s="3" t="inlineStr">
        <is>
          <t xml:space="preserve">Поступления</t>
        </is>
      </c>
      <c r="G25" s="3">
        <v>790308.360379701</v>
      </c>
      <c r="H25" s="3">
        <v>5225667.990077954</v>
      </c>
      <c r="I25" s="3">
        <v>5979867.989136245</v>
      </c>
      <c r="J25" s="3">
        <v>6750982.001177136</v>
      </c>
      <c r="K25" s="3">
        <v>7283118.76223278</v>
      </c>
      <c r="L25" s="3">
        <v>5440787.135772054</v>
      </c>
      <c r="M25" s="3">
        <v>9062642.26109104</v>
      </c>
      <c r="N25" s="3">
        <v>6670030.67309081</v>
      </c>
      <c r="O25" s="3">
        <v>5613253.053076794</v>
      </c>
      <c r="P25" s="3">
        <v>6680469.190041591</v>
      </c>
      <c r="Q25" s="3">
        <v>9533808.298286688</v>
      </c>
      <c r="R25" s="3">
        <v>14392941.544600151</v>
      </c>
      <c r="S25" s="3">
        <f>SUM(G25:R25)</f>
        <v>83423877.25896296</v>
      </c>
    </row>
    <row r="26">
      <c r="A26" t="inlineStr">
        <is>
          <t xml:space="preserve">4700134228</t>
        </is>
      </c>
      <c r="B26" t="inlineStr">
        <is>
          <t xml:space="preserve">Без исходных данных</t>
        </is>
      </c>
      <c r="C26" s="2">
        <v>2026</v>
      </c>
      <c r="D26" t="inlineStr">
        <is>
          <t xml:space="preserve">USD</t>
        </is>
      </c>
      <c r="E26" s="2">
        <v>80</v>
      </c>
      <c r="F26" t="inlineStr">
        <is>
          <t xml:space="preserve">Выплаты</t>
        </is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>SUM(G26:R26)</f>
        <v>0</v>
      </c>
    </row>
    <row r="27">
      <c r="A27" t="inlineStr">
        <is>
          <t xml:space="preserve">4700134228</t>
        </is>
      </c>
      <c r="B27" t="inlineStr">
        <is>
          <t xml:space="preserve">Без исходных данных</t>
        </is>
      </c>
      <c r="C27" s="2">
        <v>2026</v>
      </c>
      <c r="D27" t="inlineStr">
        <is>
          <t xml:space="preserve">USD</t>
        </is>
      </c>
      <c r="E27" s="2">
        <v>80</v>
      </c>
      <c r="F27" t="inlineStr">
        <is>
          <t xml:space="preserve">НДС к выплате</t>
        </is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>SUM(G27:R27)</f>
        <v>0</v>
      </c>
    </row>
    <row r="28">
      <c r="A28" s="3" t="inlineStr">
        <is>
          <t xml:space="preserve">4700134228</t>
        </is>
      </c>
      <c r="B28" s="3" t="inlineStr">
        <is>
          <t xml:space="preserve">Без исходных данных</t>
        </is>
      </c>
      <c r="C28" s="3">
        <v>2026</v>
      </c>
      <c r="D28" s="3" t="inlineStr">
        <is>
          <t xml:space="preserve">USD</t>
        </is>
      </c>
      <c r="E28" s="3">
        <v>80</v>
      </c>
      <c r="F28" s="3" t="inlineStr">
        <is>
          <t xml:space="preserve">CF за период</t>
        </is>
      </c>
      <c r="G28" s="3">
        <f>G25-G26-G27</f>
        <v>790308.360379701</v>
      </c>
      <c r="H28" s="3">
        <f>H25-H26-H27</f>
        <v>5225667.990077954</v>
      </c>
      <c r="I28" s="3">
        <f>I25-I26-I27</f>
        <v>5979867.989136245</v>
      </c>
      <c r="J28" s="3">
        <f>J25-J26-J27</f>
        <v>6750982.001177136</v>
      </c>
      <c r="K28" s="3">
        <f>K25-K26-K27</f>
        <v>7283118.76223278</v>
      </c>
      <c r="L28" s="3">
        <f>L25-L26-L27</f>
        <v>5440787.135772054</v>
      </c>
      <c r="M28" s="3">
        <f>M25-M26-M27</f>
        <v>9062642.26109104</v>
      </c>
      <c r="N28" s="3">
        <f>N25-N26-N27</f>
        <v>6670030.67309081</v>
      </c>
      <c r="O28" s="3">
        <f>O25-O26-O27</f>
        <v>5613253.053076794</v>
      </c>
      <c r="P28" s="3">
        <f>P25-P26-P27</f>
        <v>6680469.190041591</v>
      </c>
      <c r="Q28" s="3">
        <f>Q25-Q26-Q27</f>
        <v>9533808.298286688</v>
      </c>
      <c r="R28" s="3">
        <f>R25-R26-R27</f>
        <v>14392941.544600151</v>
      </c>
      <c r="S28" s="3">
        <f>SUM(G28:R28)</f>
        <v>83423877.25896296</v>
      </c>
    </row>
    <row r="29">
      <c r="A29" s="3" t="inlineStr">
        <is>
          <t xml:space="preserve">4700134228</t>
        </is>
      </c>
      <c r="B29" s="3" t="inlineStr">
        <is>
          <t xml:space="preserve">Без исходных данных</t>
        </is>
      </c>
      <c r="C29" s="3">
        <v>2026</v>
      </c>
      <c r="D29" s="3" t="inlineStr">
        <is>
          <t xml:space="preserve">USD</t>
        </is>
      </c>
      <c r="E29" s="3">
        <v>80</v>
      </c>
      <c r="F29" s="3" t="inlineStr">
        <is>
          <t xml:space="preserve">CF накопительно</t>
        </is>
      </c>
      <c r="G29" s="3">
        <f>G28+0</f>
        <v>790308.360379701</v>
      </c>
      <c r="H29" s="3">
        <f>G29+H28</f>
        <v>6015976.350457655</v>
      </c>
      <c r="I29" s="3">
        <f>H29+I28</f>
        <v>11995844.3395939</v>
      </c>
      <c r="J29" s="3">
        <f>I29+J28</f>
        <v>18746826.340771034</v>
      </c>
      <c r="K29" s="3">
        <f>J29+K28</f>
        <v>26029945.103003815</v>
      </c>
      <c r="L29" s="3">
        <f>K29+L28</f>
        <v>31470732.238775868</v>
      </c>
      <c r="M29" s="3">
        <f>L29+M28</f>
        <v>40533374.49986691</v>
      </c>
      <c r="N29" s="3">
        <f>M29+N28</f>
        <v>47203405.17295772</v>
      </c>
      <c r="O29" s="3">
        <f>N29+O28</f>
        <v>52816658.226034515</v>
      </c>
      <c r="P29" s="3">
        <f>O29+P28</f>
        <v>59497127.41607611</v>
      </c>
      <c r="Q29" s="3">
        <f>P29+Q28</f>
        <v>69030935.7143628</v>
      </c>
      <c r="R29" s="3">
        <f>Q29+R28</f>
        <v>83423877.25896296</v>
      </c>
      <c r="S29" s="3">
        <f>R29</f>
        <v>83423877.25896296</v>
      </c>
    </row>
    <row r="30">
      <c r="A30" t="inlineStr">
        <is>
          <t xml:space="preserve">4700134228</t>
        </is>
      </c>
      <c r="B30" t="inlineStr">
        <is>
          <t xml:space="preserve">Без исходных данных</t>
        </is>
      </c>
      <c r="C30" s="2">
        <v>2026</v>
      </c>
      <c r="D30" t="inlineStr">
        <is>
          <t xml:space="preserve">USD</t>
        </is>
      </c>
      <c r="E30" s="2">
        <v>80</v>
      </c>
      <c r="F30" t="inlineStr">
        <is>
          <t xml:space="preserve">Прямые: Заработная плата</t>
        </is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>
      <c r="A31" t="inlineStr">
        <is>
          <t xml:space="preserve">4700134228</t>
        </is>
      </c>
      <c r="B31" t="inlineStr">
        <is>
          <t xml:space="preserve">Без исходных данных</t>
        </is>
      </c>
      <c r="C31" s="2">
        <v>2026</v>
      </c>
      <c r="D31" t="inlineStr">
        <is>
          <t xml:space="preserve">USD</t>
        </is>
      </c>
      <c r="E31" s="2">
        <v>80</v>
      </c>
      <c r="F31" t="inlineStr">
        <is>
          <t xml:space="preserve">Прямые: НДФЛ</t>
        </is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>
      <c r="A32" t="inlineStr">
        <is>
          <t xml:space="preserve">4700134228</t>
        </is>
      </c>
      <c r="B32" t="inlineStr">
        <is>
          <t xml:space="preserve">Без исходных данных</t>
        </is>
      </c>
      <c r="C32" s="2">
        <v>2026</v>
      </c>
      <c r="D32" t="inlineStr">
        <is>
          <t xml:space="preserve">USD</t>
        </is>
      </c>
      <c r="E32" s="2">
        <v>80</v>
      </c>
      <c r="F32" t="inlineStr">
        <is>
          <t xml:space="preserve">Прямые: Страховые взносы</t>
        </is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>
      <c r="A33" t="inlineStr">
        <is>
          <t xml:space="preserve">4700134228</t>
        </is>
      </c>
      <c r="B33" t="inlineStr">
        <is>
          <t xml:space="preserve">Без исходных данных</t>
        </is>
      </c>
      <c r="C33" s="2">
        <v>2026</v>
      </c>
      <c r="D33" t="inlineStr">
        <is>
          <t xml:space="preserve">USD</t>
        </is>
      </c>
      <c r="E33" s="2">
        <v>80</v>
      </c>
      <c r="F33" t="inlineStr">
        <is>
          <t xml:space="preserve">Прямые: Резерв на отпуска</t>
        </is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>
      <c r="A34" t="inlineStr">
        <is>
          <t xml:space="preserve">4700134228</t>
        </is>
      </c>
      <c r="B34" t="inlineStr">
        <is>
          <t xml:space="preserve">Без исходных данных</t>
        </is>
      </c>
      <c r="C34" s="2">
        <v>2026</v>
      </c>
      <c r="D34" t="inlineStr">
        <is>
          <t xml:space="preserve">USD</t>
        </is>
      </c>
      <c r="E34" s="2">
        <v>80</v>
      </c>
      <c r="F34" t="inlineStr">
        <is>
          <t xml:space="preserve">Прямые: Субподряд</t>
        </is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>
      <c r="A35" t="inlineStr">
        <is>
          <t xml:space="preserve">4700134228</t>
        </is>
      </c>
      <c r="B35" t="inlineStr">
        <is>
          <t xml:space="preserve">Без исходных данных</t>
        </is>
      </c>
      <c r="C35" s="2">
        <v>2026</v>
      </c>
      <c r="D35" t="inlineStr">
        <is>
          <t xml:space="preserve">USD</t>
        </is>
      </c>
      <c r="E35" s="2">
        <v>80</v>
      </c>
      <c r="F35" t="inlineStr">
        <is>
          <t xml:space="preserve">Прямые: Строительная техника</t>
        </is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</row>
    <row r="36">
      <c r="A36" t="inlineStr">
        <is>
          <t xml:space="preserve">4700134228</t>
        </is>
      </c>
      <c r="B36" t="inlineStr">
        <is>
          <t xml:space="preserve">Без исходных данных</t>
        </is>
      </c>
      <c r="C36" s="2">
        <v>2026</v>
      </c>
      <c r="D36" t="inlineStr">
        <is>
          <t xml:space="preserve">USD</t>
        </is>
      </c>
      <c r="E36" s="2">
        <v>80</v>
      </c>
      <c r="F36" t="inlineStr">
        <is>
          <t xml:space="preserve">Прямые: Строительные леса</t>
        </is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>
      <c r="A37" t="inlineStr">
        <is>
          <t xml:space="preserve">4700134228</t>
        </is>
      </c>
      <c r="B37" t="inlineStr">
        <is>
          <t xml:space="preserve">Без исходных данных</t>
        </is>
      </c>
      <c r="C37" s="2">
        <v>2026</v>
      </c>
      <c r="D37" t="inlineStr">
        <is>
          <t xml:space="preserve">USD</t>
        </is>
      </c>
      <c r="E37" s="2">
        <v>80</v>
      </c>
      <c r="F37" t="inlineStr">
        <is>
          <t xml:space="preserve">Прямые: Лесомонтаж</t>
        </is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>
      <c r="A38" t="inlineStr">
        <is>
          <t xml:space="preserve">4700134228</t>
        </is>
      </c>
      <c r="B38" t="inlineStr">
        <is>
          <t xml:space="preserve">Без исходных данных</t>
        </is>
      </c>
      <c r="C38" s="2">
        <v>2026</v>
      </c>
      <c r="D38" t="inlineStr">
        <is>
          <t xml:space="preserve">USD</t>
        </is>
      </c>
      <c r="E38" s="2">
        <v>80</v>
      </c>
      <c r="F38" t="inlineStr">
        <is>
          <t xml:space="preserve">Прямые: Проектные материалы</t>
        </is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>
      <c r="A39" t="inlineStr">
        <is>
          <t xml:space="preserve">4700134228</t>
        </is>
      </c>
      <c r="B39" t="inlineStr">
        <is>
          <t xml:space="preserve">Без исходных данных</t>
        </is>
      </c>
      <c r="C39" s="2">
        <v>2026</v>
      </c>
      <c r="D39" t="inlineStr">
        <is>
          <t xml:space="preserve">USD</t>
        </is>
      </c>
      <c r="E39" s="2">
        <v>80</v>
      </c>
      <c r="F39" t="inlineStr">
        <is>
          <t xml:space="preserve">Прямые: Расходные материалы</t>
        </is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</row>
    <row r="40">
      <c r="A40" t="inlineStr">
        <is>
          <t xml:space="preserve">4700134228</t>
        </is>
      </c>
      <c r="B40" t="inlineStr">
        <is>
          <t xml:space="preserve">Без исходных данных</t>
        </is>
      </c>
      <c r="C40" s="2">
        <v>2026</v>
      </c>
      <c r="D40" t="inlineStr">
        <is>
          <t xml:space="preserve">USD</t>
        </is>
      </c>
      <c r="E40" s="2">
        <v>80</v>
      </c>
      <c r="F40" t="inlineStr">
        <is>
          <t xml:space="preserve">Прямые: НРК</t>
        </is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>
      <c r="A41" t="inlineStr">
        <is>
          <t xml:space="preserve">4700134228</t>
        </is>
      </c>
      <c r="B41" t="inlineStr">
        <is>
          <t xml:space="preserve">Без исходных данных</t>
        </is>
      </c>
      <c r="C41" s="2">
        <v>2026</v>
      </c>
      <c r="D41" t="inlineStr">
        <is>
          <t xml:space="preserve">USD</t>
        </is>
      </c>
      <c r="E41" s="2">
        <v>80</v>
      </c>
      <c r="F41" t="inlineStr">
        <is>
          <t xml:space="preserve">Прямые: Прочие прямые</t>
        </is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</row>
    <row r="42">
      <c r="A42" t="inlineStr">
        <is>
          <t xml:space="preserve">4700134228</t>
        </is>
      </c>
      <c r="B42" t="inlineStr">
        <is>
          <t xml:space="preserve">Без исходных данных</t>
        </is>
      </c>
      <c r="C42" s="2">
        <v>2026</v>
      </c>
      <c r="D42" t="inlineStr">
        <is>
          <t xml:space="preserve">USD</t>
        </is>
      </c>
      <c r="E42" s="2">
        <v>80</v>
      </c>
      <c r="F42" t="inlineStr">
        <is>
          <t xml:space="preserve">Косвенные: Заработная плата</t>
        </is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>
      <c r="A43" t="inlineStr">
        <is>
          <t xml:space="preserve">4700134228</t>
        </is>
      </c>
      <c r="B43" t="inlineStr">
        <is>
          <t xml:space="preserve">Без исходных данных</t>
        </is>
      </c>
      <c r="C43" s="2">
        <v>2026</v>
      </c>
      <c r="D43" t="inlineStr">
        <is>
          <t xml:space="preserve">USD</t>
        </is>
      </c>
      <c r="E43" s="2">
        <v>80</v>
      </c>
      <c r="F43" t="inlineStr">
        <is>
          <t xml:space="preserve">Косвенные: НДФЛ</t>
        </is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>
      <c r="A44" t="inlineStr">
        <is>
          <t xml:space="preserve">4700134228</t>
        </is>
      </c>
      <c r="B44" t="inlineStr">
        <is>
          <t xml:space="preserve">Без исходных данных</t>
        </is>
      </c>
      <c r="C44" s="2">
        <v>2026</v>
      </c>
      <c r="D44" t="inlineStr">
        <is>
          <t xml:space="preserve">USD</t>
        </is>
      </c>
      <c r="E44" s="2">
        <v>80</v>
      </c>
      <c r="F44" t="inlineStr">
        <is>
          <t xml:space="preserve">Косвенные: Страховые взносы</t>
        </is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>
      <c r="A45" t="inlineStr">
        <is>
          <t xml:space="preserve">4700134228</t>
        </is>
      </c>
      <c r="B45" t="inlineStr">
        <is>
          <t xml:space="preserve">Без исходных данных</t>
        </is>
      </c>
      <c r="C45" s="2">
        <v>2026</v>
      </c>
      <c r="D45" t="inlineStr">
        <is>
          <t xml:space="preserve">USD</t>
        </is>
      </c>
      <c r="E45" s="2">
        <v>80</v>
      </c>
      <c r="F45" t="inlineStr">
        <is>
          <t xml:space="preserve">Косвенные: Резерв на отпуска</t>
        </is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>
      <c r="A46" t="inlineStr">
        <is>
          <t xml:space="preserve">4700134228</t>
        </is>
      </c>
      <c r="B46" t="inlineStr">
        <is>
          <t xml:space="preserve">Без исходных данных</t>
        </is>
      </c>
      <c r="C46" s="2">
        <v>2026</v>
      </c>
      <c r="D46" t="inlineStr">
        <is>
          <t xml:space="preserve">USD</t>
        </is>
      </c>
      <c r="E46" s="2">
        <v>80</v>
      </c>
      <c r="F46" t="inlineStr">
        <is>
          <t xml:space="preserve">Косвенные: Питание</t>
        </is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>
      <c r="A47" t="inlineStr">
        <is>
          <t xml:space="preserve">4700134228</t>
        </is>
      </c>
      <c r="B47" t="inlineStr">
        <is>
          <t xml:space="preserve">Без исходных данных</t>
        </is>
      </c>
      <c r="C47" s="2">
        <v>2026</v>
      </c>
      <c r="D47" t="inlineStr">
        <is>
          <t xml:space="preserve">USD</t>
        </is>
      </c>
      <c r="E47" s="2">
        <v>80</v>
      </c>
      <c r="F47" t="inlineStr">
        <is>
          <t xml:space="preserve">Косвенные: Проживание</t>
        </is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>
      <c r="A48" t="inlineStr">
        <is>
          <t xml:space="preserve">4700134228</t>
        </is>
      </c>
      <c r="B48" t="inlineStr">
        <is>
          <t xml:space="preserve">Без исходных данных</t>
        </is>
      </c>
      <c r="C48" s="2">
        <v>2026</v>
      </c>
      <c r="D48" t="inlineStr">
        <is>
          <t xml:space="preserve">USD</t>
        </is>
      </c>
      <c r="E48" s="2">
        <v>80</v>
      </c>
      <c r="F48" t="inlineStr">
        <is>
          <t xml:space="preserve">Косвенные: Аренда автобусов</t>
        </is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>
      <c r="A49" t="inlineStr">
        <is>
          <t xml:space="preserve">4700134228</t>
        </is>
      </c>
      <c r="B49" t="inlineStr">
        <is>
          <t xml:space="preserve">Без исходных данных</t>
        </is>
      </c>
      <c r="C49" s="2">
        <v>2026</v>
      </c>
      <c r="D49" t="inlineStr">
        <is>
          <t xml:space="preserve">USD</t>
        </is>
      </c>
      <c r="E49" s="2">
        <v>80</v>
      </c>
      <c r="F49" t="inlineStr">
        <is>
          <t xml:space="preserve">Косвенные: Аренда автомобиля</t>
        </is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>
      <c r="A50" t="inlineStr">
        <is>
          <t xml:space="preserve">4700134228</t>
        </is>
      </c>
      <c r="B50" t="inlineStr">
        <is>
          <t xml:space="preserve">Без исходных данных</t>
        </is>
      </c>
      <c r="C50" s="2">
        <v>2026</v>
      </c>
      <c r="D50" t="inlineStr">
        <is>
          <t xml:space="preserve">USD</t>
        </is>
      </c>
      <c r="E50" s="2">
        <v>80</v>
      </c>
      <c r="F50" t="inlineStr">
        <is>
          <t xml:space="preserve">Косвенные: Аренда опалубки</t>
        </is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>
      <c r="A51" t="inlineStr">
        <is>
          <t xml:space="preserve">4700134228</t>
        </is>
      </c>
      <c r="B51" t="inlineStr">
        <is>
          <t xml:space="preserve">Без исходных данных</t>
        </is>
      </c>
      <c r="C51" s="2">
        <v>2026</v>
      </c>
      <c r="D51" t="inlineStr">
        <is>
          <t xml:space="preserve">USD</t>
        </is>
      </c>
      <c r="E51" s="2">
        <v>80</v>
      </c>
      <c r="F51" t="inlineStr">
        <is>
          <t xml:space="preserve">Косвенные: СИЗы</t>
        </is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>
      <c r="A52" t="inlineStr">
        <is>
          <t xml:space="preserve">4700134228</t>
        </is>
      </c>
      <c r="B52" t="inlineStr">
        <is>
          <t xml:space="preserve">Без исходных данных</t>
        </is>
      </c>
      <c r="C52" s="2">
        <v>2026</v>
      </c>
      <c r="D52" t="inlineStr">
        <is>
          <t xml:space="preserve">USD</t>
        </is>
      </c>
      <c r="E52" s="2">
        <v>80</v>
      </c>
      <c r="F52" t="inlineStr">
        <is>
          <t xml:space="preserve">Косвенные: Приобретение билетов</t>
        </is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>
      <c r="A53" t="inlineStr">
        <is>
          <t xml:space="preserve">4700134228</t>
        </is>
      </c>
      <c r="B53" t="inlineStr">
        <is>
          <t xml:space="preserve">Без исходных данных</t>
        </is>
      </c>
      <c r="C53" s="2">
        <v>2026</v>
      </c>
      <c r="D53" t="inlineStr">
        <is>
          <t xml:space="preserve">USD</t>
        </is>
      </c>
      <c r="E53" s="2">
        <v>80</v>
      </c>
      <c r="F53" t="inlineStr">
        <is>
          <t xml:space="preserve">Косвенные: Разрешение на работу</t>
        </is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>
      <c r="A54" t="inlineStr">
        <is>
          <t xml:space="preserve">4700134228</t>
        </is>
      </c>
      <c r="B54" t="inlineStr">
        <is>
          <t xml:space="preserve">Без исходных данных</t>
        </is>
      </c>
      <c r="C54" s="2">
        <v>2026</v>
      </c>
      <c r="D54" t="inlineStr">
        <is>
          <t xml:space="preserve">USD</t>
        </is>
      </c>
      <c r="E54" s="2">
        <v>80</v>
      </c>
      <c r="F54" t="inlineStr">
        <is>
          <t xml:space="preserve">Косвенные: Медицинские услуги</t>
        </is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>
      <c r="A55" t="inlineStr">
        <is>
          <t xml:space="preserve">4700134228</t>
        </is>
      </c>
      <c r="B55" t="inlineStr">
        <is>
          <t xml:space="preserve">Без исходных данных</t>
        </is>
      </c>
      <c r="C55" s="2">
        <v>2026</v>
      </c>
      <c r="D55" t="inlineStr">
        <is>
          <t xml:space="preserve">USD</t>
        </is>
      </c>
      <c r="E55" s="2">
        <v>80</v>
      </c>
      <c r="F55" t="inlineStr">
        <is>
          <t xml:space="preserve">Косвенные: ВЗиС для ОР</t>
        </is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>
      <c r="A56" t="inlineStr">
        <is>
          <t xml:space="preserve">4700134228</t>
        </is>
      </c>
      <c r="B56" t="inlineStr">
        <is>
          <t xml:space="preserve">Без исходных данных</t>
        </is>
      </c>
      <c r="C56" s="2">
        <v>2026</v>
      </c>
      <c r="D56" t="inlineStr">
        <is>
          <t xml:space="preserve">USD</t>
        </is>
      </c>
      <c r="E56" s="2">
        <v>80</v>
      </c>
      <c r="F56" t="inlineStr">
        <is>
          <t xml:space="preserve">Косвенные: Аренда офиса</t>
        </is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>
      <c r="A57" t="inlineStr">
        <is>
          <t xml:space="preserve">4700134228</t>
        </is>
      </c>
      <c r="B57" t="inlineStr">
        <is>
          <t xml:space="preserve">Без исходных данных</t>
        </is>
      </c>
      <c r="C57" s="2">
        <v>2026</v>
      </c>
      <c r="D57" t="inlineStr">
        <is>
          <t xml:space="preserve">USD</t>
        </is>
      </c>
      <c r="E57" s="2">
        <v>80</v>
      </c>
      <c r="F57" t="inlineStr">
        <is>
          <t xml:space="preserve">Косвенные: Аренда склада</t>
        </is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>
      <c r="A58" t="inlineStr">
        <is>
          <t xml:space="preserve">4700134228</t>
        </is>
      </c>
      <c r="B58" t="inlineStr">
        <is>
          <t xml:space="preserve">Без исходных данных</t>
        </is>
      </c>
      <c r="C58" s="2">
        <v>2026</v>
      </c>
      <c r="D58" t="inlineStr">
        <is>
          <t xml:space="preserve">USD</t>
        </is>
      </c>
      <c r="E58" s="2">
        <v>80</v>
      </c>
      <c r="F58" t="inlineStr">
        <is>
          <t xml:space="preserve">Косвенные: Интернет</t>
        </is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>
      <c r="A59" t="inlineStr">
        <is>
          <t xml:space="preserve">4700134228</t>
        </is>
      </c>
      <c r="B59" t="inlineStr">
        <is>
          <t xml:space="preserve">Без исходных данных</t>
        </is>
      </c>
      <c r="C59" s="2">
        <v>2026</v>
      </c>
      <c r="D59" t="inlineStr">
        <is>
          <t xml:space="preserve">USD</t>
        </is>
      </c>
      <c r="E59" s="2">
        <v>80</v>
      </c>
      <c r="F59" t="inlineStr">
        <is>
          <t xml:space="preserve">Косвенные: Обращение с ТБО и ЖБО</t>
        </is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>
      <c r="A60" t="inlineStr">
        <is>
          <t xml:space="preserve">4700134228</t>
        </is>
      </c>
      <c r="B60" t="inlineStr">
        <is>
          <t xml:space="preserve">Без исходных данных</t>
        </is>
      </c>
      <c r="C60" s="2">
        <v>2026</v>
      </c>
      <c r="D60" t="inlineStr">
        <is>
          <t xml:space="preserve">USD</t>
        </is>
      </c>
      <c r="E60" s="2">
        <v>80</v>
      </c>
      <c r="F60" t="inlineStr">
        <is>
          <t xml:space="preserve">Косвенные: Охрана труда</t>
        </is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>
      <c r="A61" t="inlineStr">
        <is>
          <t xml:space="preserve">4700134228</t>
        </is>
      </c>
      <c r="B61" t="inlineStr">
        <is>
          <t xml:space="preserve">Без исходных данных</t>
        </is>
      </c>
      <c r="C61" s="2">
        <v>2026</v>
      </c>
      <c r="D61" t="inlineStr">
        <is>
          <t xml:space="preserve">USD</t>
        </is>
      </c>
      <c r="E61" s="2">
        <v>80</v>
      </c>
      <c r="F61" t="inlineStr">
        <is>
          <t xml:space="preserve">Косвенные: Страхование от НС</t>
        </is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>
      <c r="A62" t="inlineStr">
        <is>
          <t xml:space="preserve">4700134228</t>
        </is>
      </c>
      <c r="B62" t="inlineStr">
        <is>
          <t xml:space="preserve">Без исходных данных</t>
        </is>
      </c>
      <c r="C62" s="2">
        <v>2026</v>
      </c>
      <c r="D62" t="inlineStr">
        <is>
          <t xml:space="preserve">USD</t>
        </is>
      </c>
      <c r="E62" s="2">
        <v>80</v>
      </c>
      <c r="F62" t="inlineStr">
        <is>
          <t xml:space="preserve">Косвенные: IT-материалы</t>
        </is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>
      <c r="A63" t="inlineStr">
        <is>
          <t xml:space="preserve">4700134228</t>
        </is>
      </c>
      <c r="B63" t="inlineStr">
        <is>
          <t xml:space="preserve">Без исходных данных</t>
        </is>
      </c>
      <c r="C63" s="2">
        <v>2026</v>
      </c>
      <c r="D63" t="inlineStr">
        <is>
          <t xml:space="preserve">USD</t>
        </is>
      </c>
      <c r="E63" s="2">
        <v>80</v>
      </c>
      <c r="F63" t="inlineStr">
        <is>
          <t xml:space="preserve">Косвенные: Приобретение контейнеров</t>
        </is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>
      <c r="A64" t="inlineStr">
        <is>
          <t xml:space="preserve">4700134228</t>
        </is>
      </c>
      <c r="B64" t="inlineStr">
        <is>
          <t xml:space="preserve">Без исходных данных</t>
        </is>
      </c>
      <c r="C64" s="2">
        <v>2026</v>
      </c>
      <c r="D64" t="inlineStr">
        <is>
          <t xml:space="preserve">USD</t>
        </is>
      </c>
      <c r="E64" s="2">
        <v>80</v>
      </c>
      <c r="F64" t="inlineStr">
        <is>
          <t xml:space="preserve">Косвенные: Приобретение модульного офиса</t>
        </is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>
      <c r="A65" t="inlineStr">
        <is>
          <t xml:space="preserve">4700134228</t>
        </is>
      </c>
      <c r="B65" t="inlineStr">
        <is>
          <t xml:space="preserve">Без исходных данных</t>
        </is>
      </c>
      <c r="C65" s="2">
        <v>2026</v>
      </c>
      <c r="D65" t="inlineStr">
        <is>
          <t xml:space="preserve">USD</t>
        </is>
      </c>
      <c r="E65" s="2">
        <v>80</v>
      </c>
      <c r="F65" t="inlineStr">
        <is>
          <t xml:space="preserve">Косвенные: Транспортные услуги</t>
        </is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>
      <c r="A66" t="inlineStr">
        <is>
          <t xml:space="preserve">4700134228</t>
        </is>
      </c>
      <c r="B66" t="inlineStr">
        <is>
          <t xml:space="preserve">Без исходных данных</t>
        </is>
      </c>
      <c r="C66" s="2">
        <v>2026</v>
      </c>
      <c r="D66" t="inlineStr">
        <is>
          <t xml:space="preserve">USD</t>
        </is>
      </c>
      <c r="E66" s="2">
        <v>80</v>
      </c>
      <c r="F66" t="inlineStr">
        <is>
          <t xml:space="preserve">Косвенные: Прочие косвенные расходы</t>
        </is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>
      <pane ySplit="5" topLeftCell="A6" activePane="bottomLeft" state="frozen"/>
    </sheetView>
  </sheetViews>
  <cols>
    <col min="1" max="2" width="5" customWidth="1"/>
    <col min="3" max="3" width="43" customWidth="1"/>
    <col min="4" max="8" width="5" customWidth="1"/>
    <col min="9" max="24" width="18" customWidth="1"/>
  </cols>
  <sheetData>
    <row r="1">
      <c r="A1" s="1" t="inlineStr">
        <is>
          <t xml:space="preserve"/>
        </is>
      </c>
      <c r="B1" s="1" t="inlineStr">
        <is>
          <t xml:space="preserve"/>
        </is>
      </c>
      <c r="C1" s="1" t="inlineStr">
        <is>
          <t xml:space="preserve">Детальная модель договоров подрядчика</t>
        </is>
      </c>
    </row>
    <row r="2">
      <c r="A2" t="inlineStr">
        <is>
          <t xml:space="preserve"/>
        </is>
      </c>
      <c r="B2" t="inlineStr">
        <is>
          <t xml:space="preserve"/>
        </is>
      </c>
      <c r="C2" t="inlineStr">
        <is>
          <t xml:space="preserve">Денежные показатели в миллионах валюты договора; натуральные — в единицах</t>
        </is>
      </c>
    </row>
    <row r="3"/>
    <row r="4">
      <c r="A4" s="1" t="inlineStr">
        <is>
          <t xml:space="preserve"/>
        </is>
      </c>
      <c r="B4" s="1" t="inlineStr">
        <is>
          <t xml:space="preserve"/>
        </is>
      </c>
      <c r="C4" s="1" t="inlineStr">
        <is>
          <t xml:space="preserve">Договор 4700134228 · Без исходных данных · 2026 · USD</t>
        </is>
      </c>
    </row>
    <row r="5">
      <c r="A5" s="1" t="inlineStr">
        <is>
          <t xml:space="preserve"/>
        </is>
      </c>
      <c r="B5" s="1" t="inlineStr">
        <is>
          <t xml:space="preserve"/>
        </is>
      </c>
      <c r="C5" s="1" t="inlineStr">
        <is>
          <t xml:space="preserve">Статья</t>
        </is>
      </c>
      <c r="D5" s="1" t="inlineStr">
        <is>
          <t xml:space="preserve"/>
        </is>
      </c>
      <c r="E5" s="1" t="inlineStr">
        <is>
          <t xml:space="preserve"/>
        </is>
      </c>
      <c r="F5" s="1" t="inlineStr">
        <is>
          <t xml:space="preserve"/>
        </is>
      </c>
      <c r="G5" s="1" t="inlineStr">
        <is>
          <t xml:space="preserve"/>
        </is>
      </c>
      <c r="H5" s="1" t="inlineStr">
        <is>
          <t xml:space="preserve"/>
        </is>
      </c>
      <c r="I5" s="1" t="inlineStr">
        <is>
          <t xml:space="preserve">ИТОГО</t>
        </is>
      </c>
      <c r="J5" s="1" t="inlineStr">
        <is>
          <t xml:space="preserve">ФАКТ</t>
        </is>
      </c>
      <c r="K5" s="1" t="inlineStr">
        <is>
          <t xml:space="preserve">ПРОГНОЗ</t>
        </is>
      </c>
      <c r="L5" s="1" t="inlineStr">
        <is>
          <t xml:space="preserve"/>
        </is>
      </c>
      <c r="M5" s="1" t="inlineStr">
        <is>
          <t xml:space="preserve">Янв 2026</t>
        </is>
      </c>
      <c r="N5" s="1" t="inlineStr">
        <is>
          <t xml:space="preserve">Фев 2026</t>
        </is>
      </c>
      <c r="O5" s="1" t="inlineStr">
        <is>
          <t xml:space="preserve">Мар 2026</t>
        </is>
      </c>
      <c r="P5" s="1" t="inlineStr">
        <is>
          <t xml:space="preserve">Апр 2026</t>
        </is>
      </c>
      <c r="Q5" s="1" t="inlineStr">
        <is>
          <t xml:space="preserve">Май 2026</t>
        </is>
      </c>
      <c r="R5" s="1" t="inlineStr">
        <is>
          <t xml:space="preserve">Июн 2026</t>
        </is>
      </c>
      <c r="S5" s="1" t="inlineStr">
        <is>
          <t xml:space="preserve">Июл 2026</t>
        </is>
      </c>
      <c r="T5" s="1" t="inlineStr">
        <is>
          <t xml:space="preserve">Авг 2026</t>
        </is>
      </c>
      <c r="U5" s="1" t="inlineStr">
        <is>
          <t xml:space="preserve">Сен 2026</t>
        </is>
      </c>
      <c r="V5" s="1" t="inlineStr">
        <is>
          <t xml:space="preserve">Окт 2026</t>
        </is>
      </c>
      <c r="W5" s="1" t="inlineStr">
        <is>
          <t xml:space="preserve">Ноя 2026</t>
        </is>
      </c>
      <c r="X5" s="1" t="inlineStr">
        <is>
          <t xml:space="preserve">Дек 2026</t>
        </is>
      </c>
    </row>
    <row r="6">
      <c r="A6" t="inlineStr">
        <is>
          <t xml:space="preserve"/>
        </is>
      </c>
      <c r="B6" t="inlineStr">
        <is>
          <t xml:space="preserve"/>
        </is>
      </c>
      <c r="C6" t="inlineStr">
        <is>
          <t xml:space="preserve">Физический объём, ед.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s="2">
        <f>SUM(M6:X6)</f>
        <v>201119.7</v>
      </c>
      <c r="J6" t="inlineStr">
        <is>
          <t xml:space="preserve"/>
        </is>
      </c>
      <c r="K6" s="2">
        <f>I6</f>
        <v>201119.7</v>
      </c>
      <c r="L6" t="inlineStr">
        <is>
          <t xml:space="preserve"/>
        </is>
      </c>
      <c r="M6" s="2">
        <v>8880.160000000002</v>
      </c>
      <c r="N6" s="2">
        <v>7032.24</v>
      </c>
      <c r="O6" s="2">
        <v>10582.28</v>
      </c>
      <c r="P6" s="2">
        <v>9278.360000000002</v>
      </c>
      <c r="Q6" s="2">
        <v>4727.799999999999</v>
      </c>
      <c r="R6" s="2">
        <v>6371.719999999999</v>
      </c>
      <c r="S6" s="2">
        <v>2176.54</v>
      </c>
      <c r="T6" s="2">
        <v>7165.499999999999</v>
      </c>
      <c r="U6" s="2">
        <v>6542.160000000001</v>
      </c>
      <c r="V6" s="2">
        <v>19045.679999999997</v>
      </c>
      <c r="W6" s="2">
        <v>59445.10000000001</v>
      </c>
      <c r="X6" s="2">
        <v>59872.15999999999</v>
      </c>
    </row>
    <row r="7">
      <c r="A7" t="inlineStr">
        <is>
          <t xml:space="preserve"/>
        </is>
      </c>
      <c r="B7" t="inlineStr">
        <is>
          <t xml:space="preserve"/>
        </is>
      </c>
      <c r="C7" t="inlineStr">
        <is>
          <t xml:space="preserve">Основной персонал, FTE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s="2">
        <f>SUM(M7:X7)</f>
        <v>0</v>
      </c>
      <c r="J7" t="inlineStr">
        <is>
          <t xml:space="preserve"/>
        </is>
      </c>
      <c r="K7" s="2">
        <f>I7</f>
        <v>0</v>
      </c>
      <c r="L7" t="inlineStr">
        <is>
          <t xml:space="preserve"/>
        </is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>
      <c r="A8" t="inlineStr">
        <is>
          <t xml:space="preserve"/>
        </is>
      </c>
      <c r="B8" t="inlineStr">
        <is>
          <t xml:space="preserve"/>
        </is>
      </c>
      <c r="C8" t="inlineStr">
        <is>
          <t xml:space="preserve">Косвенный персонал, FTE</t>
        </is>
      </c>
      <c r="D8" t="inlineStr">
        <is>
          <t xml:space="preserve"/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s="2">
        <f>SUM(M8:X8)</f>
        <v>0</v>
      </c>
      <c r="J8" t="inlineStr">
        <is>
          <t xml:space="preserve"/>
        </is>
      </c>
      <c r="K8" s="2">
        <f>I8</f>
        <v>0</v>
      </c>
      <c r="L8" t="inlineStr">
        <is>
          <t xml:space="preserve"/>
        </is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>
      <c r="A9" t="inlineStr">
        <is>
          <t xml:space="preserve"/>
        </is>
      </c>
      <c r="B9" t="inlineStr">
        <is>
          <t xml:space="preserve"/>
        </is>
      </c>
      <c r="C9" t="inlineStr">
        <is>
          <t xml:space="preserve">Техника, маш.-ч</t>
        </is>
      </c>
      <c r="D9" t="inlineStr">
        <is>
          <t xml:space="preserve"/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s="2">
        <f>SUM(M9:X9)</f>
        <v>0</v>
      </c>
      <c r="J9" t="inlineStr">
        <is>
          <t xml:space="preserve"/>
        </is>
      </c>
      <c r="K9" s="2">
        <f>I9</f>
        <v>0</v>
      </c>
      <c r="L9" t="inlineStr">
        <is>
          <t xml:space="preserve"/>
        </is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3" t="inlineStr">
        <is>
          <t xml:space="preserve"/>
        </is>
      </c>
      <c r="B10" s="3" t="inlineStr">
        <is>
          <t xml:space="preserve"/>
        </is>
      </c>
      <c r="C10" s="3" t="inlineStr">
        <is>
          <t xml:space="preserve">Выручка</t>
        </is>
      </c>
      <c r="D10" s="3" t="inlineStr">
        <is>
          <t xml:space="preserve"/>
        </is>
      </c>
      <c r="E10" s="3" t="inlineStr">
        <is>
          <t xml:space="preserve"/>
        </is>
      </c>
      <c r="F10" s="3" t="inlineStr">
        <is>
          <t xml:space="preserve"/>
        </is>
      </c>
      <c r="G10" s="3" t="inlineStr">
        <is>
          <t xml:space="preserve"/>
        </is>
      </c>
      <c r="H10" s="3" t="inlineStr">
        <is>
          <t xml:space="preserve"/>
        </is>
      </c>
      <c r="I10" s="3">
        <f>SUM(M10:X10)</f>
        <v>102.55036642199138</v>
      </c>
      <c r="J10" s="3" t="inlineStr">
        <is>
          <t xml:space="preserve"/>
        </is>
      </c>
      <c r="K10" s="3">
        <f>I10</f>
        <v>102.55036642199138</v>
      </c>
      <c r="L10" s="3" t="inlineStr">
        <is>
          <t xml:space="preserve"/>
        </is>
      </c>
      <c r="M10" s="3">
        <v>6.009188245655865</v>
      </c>
      <c r="N10" s="3">
        <v>6.326310065261915</v>
      </c>
      <c r="O10" s="3">
        <v>7.192962040909068</v>
      </c>
      <c r="P10" s="3">
        <v>7.719049553621542</v>
      </c>
      <c r="Q10" s="3">
        <v>5.5058215534245685</v>
      </c>
      <c r="R10" s="3">
        <v>9.98782364153884</v>
      </c>
      <c r="S10" s="3">
        <v>6.691447283210083</v>
      </c>
      <c r="T10" s="3">
        <v>5.821714106633727</v>
      </c>
      <c r="U10" s="3">
        <v>7.166557134399284</v>
      </c>
      <c r="V10" s="3">
        <v>10.354368854407902</v>
      </c>
      <c r="W10" s="3">
        <v>15.683364331498714</v>
      </c>
      <c r="X10" s="3">
        <v>14.091759611429863</v>
      </c>
    </row>
    <row r="11">
      <c r="A11" s="3" t="inlineStr">
        <is>
          <t xml:space="preserve"/>
        </is>
      </c>
      <c r="B11" s="3" t="inlineStr">
        <is>
          <t xml:space="preserve"/>
        </is>
      </c>
      <c r="C11" s="3" t="inlineStr">
        <is>
          <t xml:space="preserve">Прямые расходы</t>
        </is>
      </c>
      <c r="D11" s="3" t="inlineStr">
        <is>
          <t xml:space="preserve"/>
        </is>
      </c>
      <c r="E11" s="3" t="inlineStr">
        <is>
          <t xml:space="preserve"/>
        </is>
      </c>
      <c r="F11" s="3" t="inlineStr">
        <is>
          <t xml:space="preserve"/>
        </is>
      </c>
      <c r="G11" s="3" t="inlineStr">
        <is>
          <t xml:space="preserve"/>
        </is>
      </c>
      <c r="H11" s="3" t="inlineStr">
        <is>
          <t xml:space="preserve"/>
        </is>
      </c>
      <c r="I11" s="3">
        <f>SUM(M11:X11)</f>
        <v>0</v>
      </c>
      <c r="J11" s="3" t="inlineStr">
        <is>
          <t xml:space="preserve"/>
        </is>
      </c>
      <c r="K11" s="3">
        <f>I11</f>
        <v>0</v>
      </c>
      <c r="L11" s="3" t="inlineStr">
        <is>
          <t xml:space="preserve"/>
        </is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>
      <c r="A12" s="3" t="inlineStr">
        <is>
          <t xml:space="preserve"/>
        </is>
      </c>
      <c r="B12" s="3" t="inlineStr">
        <is>
          <t xml:space="preserve"/>
        </is>
      </c>
      <c r="C12" s="3" t="inlineStr">
        <is>
          <t xml:space="preserve">Косвенные расходы</t>
        </is>
      </c>
      <c r="D12" s="3" t="inlineStr">
        <is>
          <t xml:space="preserve"/>
        </is>
      </c>
      <c r="E12" s="3" t="inlineStr">
        <is>
          <t xml:space="preserve"/>
        </is>
      </c>
      <c r="F12" s="3" t="inlineStr">
        <is>
          <t xml:space="preserve"/>
        </is>
      </c>
      <c r="G12" s="3" t="inlineStr">
        <is>
          <t xml:space="preserve"/>
        </is>
      </c>
      <c r="H12" s="3" t="inlineStr">
        <is>
          <t xml:space="preserve"/>
        </is>
      </c>
      <c r="I12" s="3">
        <f>SUM(M12:X12)</f>
        <v>0</v>
      </c>
      <c r="J12" s="3" t="inlineStr">
        <is>
          <t xml:space="preserve"/>
        </is>
      </c>
      <c r="K12" s="3">
        <f>I12</f>
        <v>0</v>
      </c>
      <c r="L12" s="3" t="inlineStr">
        <is>
          <t xml:space="preserve"/>
        </is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>
      <c r="A13" s="3" t="inlineStr">
        <is>
          <t xml:space="preserve"/>
        </is>
      </c>
      <c r="B13" s="3" t="inlineStr">
        <is>
          <t xml:space="preserve"/>
        </is>
      </c>
      <c r="C13" s="3" t="inlineStr">
        <is>
          <t xml:space="preserve">Расходы</t>
        </is>
      </c>
      <c r="D13" s="3" t="inlineStr">
        <is>
          <t xml:space="preserve"/>
        </is>
      </c>
      <c r="E13" s="3" t="inlineStr">
        <is>
          <t xml:space="preserve"/>
        </is>
      </c>
      <c r="F13" s="3" t="inlineStr">
        <is>
          <t xml:space="preserve"/>
        </is>
      </c>
      <c r="G13" s="3" t="inlineStr">
        <is>
          <t xml:space="preserve"/>
        </is>
      </c>
      <c r="H13" s="3" t="inlineStr">
        <is>
          <t xml:space="preserve"/>
        </is>
      </c>
      <c r="I13" s="3">
        <f>SUM(M13:X13)</f>
        <v>0</v>
      </c>
      <c r="J13" s="3" t="inlineStr">
        <is>
          <t xml:space="preserve"/>
        </is>
      </c>
      <c r="K13" s="3">
        <f>I13</f>
        <v>0</v>
      </c>
      <c r="L13" s="3" t="inlineStr">
        <is>
          <t xml:space="preserve"/>
        </is>
      </c>
      <c r="M13" s="3">
        <f>M11+M12</f>
        <v>0</v>
      </c>
      <c r="N13" s="3">
        <f>N11+N12</f>
        <v>0</v>
      </c>
      <c r="O13" s="3">
        <f>O11+O12</f>
        <v>0</v>
      </c>
      <c r="P13" s="3">
        <f>P11+P12</f>
        <v>0</v>
      </c>
      <c r="Q13" s="3">
        <f>Q11+Q12</f>
        <v>0</v>
      </c>
      <c r="R13" s="3">
        <f>R11+R12</f>
        <v>0</v>
      </c>
      <c r="S13" s="3">
        <f>S11+S12</f>
        <v>0</v>
      </c>
      <c r="T13" s="3">
        <f>T11+T12</f>
        <v>0</v>
      </c>
      <c r="U13" s="3">
        <f>U11+U12</f>
        <v>0</v>
      </c>
      <c r="V13" s="3">
        <f>V11+V12</f>
        <v>0</v>
      </c>
      <c r="W13" s="3">
        <f>W11+W12</f>
        <v>0</v>
      </c>
      <c r="X13" s="3">
        <f>X11+X12</f>
        <v>0</v>
      </c>
    </row>
    <row r="14">
      <c r="A14" s="3" t="inlineStr">
        <is>
          <t xml:space="preserve"/>
        </is>
      </c>
      <c r="B14" s="3" t="inlineStr">
        <is>
          <t xml:space="preserve"/>
        </is>
      </c>
      <c r="C14" s="3" t="inlineStr">
        <is>
          <t xml:space="preserve">Финансовый результат</t>
        </is>
      </c>
      <c r="D14" s="3" t="inlineStr">
        <is>
          <t xml:space="preserve"/>
        </is>
      </c>
      <c r="E14" s="3" t="inlineStr">
        <is>
          <t xml:space="preserve"/>
        </is>
      </c>
      <c r="F14" s="3" t="inlineStr">
        <is>
          <t xml:space="preserve"/>
        </is>
      </c>
      <c r="G14" s="3" t="inlineStr">
        <is>
          <t xml:space="preserve"/>
        </is>
      </c>
      <c r="H14" s="3" t="inlineStr">
        <is>
          <t xml:space="preserve"/>
        </is>
      </c>
      <c r="I14" s="3">
        <f>SUM(M14:X14)</f>
        <v>102.55036642199138</v>
      </c>
      <c r="J14" s="3" t="inlineStr">
        <is>
          <t xml:space="preserve"/>
        </is>
      </c>
      <c r="K14" s="3">
        <f>I14</f>
        <v>102.55036642199138</v>
      </c>
      <c r="L14" s="3" t="inlineStr">
        <is>
          <t xml:space="preserve"/>
        </is>
      </c>
      <c r="M14" s="3">
        <f>M10-M13</f>
        <v>6.009188245655865</v>
      </c>
      <c r="N14" s="3">
        <f>N10-N13</f>
        <v>6.326310065261915</v>
      </c>
      <c r="O14" s="3">
        <f>O10-O13</f>
        <v>7.192962040909068</v>
      </c>
      <c r="P14" s="3">
        <f>P10-P13</f>
        <v>7.719049553621542</v>
      </c>
      <c r="Q14" s="3">
        <f>Q10-Q13</f>
        <v>5.5058215534245685</v>
      </c>
      <c r="R14" s="3">
        <f>R10-R13</f>
        <v>9.98782364153884</v>
      </c>
      <c r="S14" s="3">
        <f>S10-S13</f>
        <v>6.691447283210083</v>
      </c>
      <c r="T14" s="3">
        <f>T10-T13</f>
        <v>5.821714106633727</v>
      </c>
      <c r="U14" s="3">
        <f>U10-U13</f>
        <v>7.166557134399284</v>
      </c>
      <c r="V14" s="3">
        <f>V10-V13</f>
        <v>10.354368854407902</v>
      </c>
      <c r="W14" s="3">
        <f>W10-W13</f>
        <v>15.683364331498714</v>
      </c>
      <c r="X14" s="3">
        <f>X10-X13</f>
        <v>14.091759611429863</v>
      </c>
    </row>
    <row r="15">
      <c r="A15" t="inlineStr">
        <is>
          <t xml:space="preserve"/>
        </is>
      </c>
      <c r="B15" t="inlineStr">
        <is>
          <t xml:space="preserve"/>
        </is>
      </c>
      <c r="C15" t="inlineStr">
        <is>
          <t xml:space="preserve">Подписано КС по первичке</t>
        </is>
      </c>
      <c r="D15" t="inlineStr">
        <is>
          <t xml:space="preserve"/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s="2">
        <f>SUM(M15:X15)</f>
        <v>0</v>
      </c>
      <c r="J15" t="inlineStr">
        <is>
          <t xml:space="preserve"/>
        </is>
      </c>
      <c r="K15" s="2">
        <f>I15</f>
        <v>0</v>
      </c>
      <c r="L15" t="inlineStr">
        <is>
          <t xml:space="preserve"/>
        </is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>
      <c r="A16" s="3" t="inlineStr">
        <is>
          <t xml:space="preserve"/>
        </is>
      </c>
      <c r="B16" s="3" t="inlineStr">
        <is>
          <t xml:space="preserve"/>
        </is>
      </c>
      <c r="C16" s="3" t="inlineStr">
        <is>
          <t xml:space="preserve">Поступления</t>
        </is>
      </c>
      <c r="D16" s="3" t="inlineStr">
        <is>
          <t xml:space="preserve"/>
        </is>
      </c>
      <c r="E16" s="3" t="inlineStr">
        <is>
          <t xml:space="preserve"/>
        </is>
      </c>
      <c r="F16" s="3" t="inlineStr">
        <is>
          <t xml:space="preserve"/>
        </is>
      </c>
      <c r="G16" s="3" t="inlineStr">
        <is>
          <t xml:space="preserve"/>
        </is>
      </c>
      <c r="H16" s="3" t="inlineStr">
        <is>
          <t xml:space="preserve"/>
        </is>
      </c>
      <c r="I16" s="3">
        <f>SUM(M16:X16)</f>
        <v>83.42387725896296</v>
      </c>
      <c r="J16" s="3" t="inlineStr">
        <is>
          <t xml:space="preserve"/>
        </is>
      </c>
      <c r="K16" s="3">
        <f>I16</f>
        <v>83.42387725896296</v>
      </c>
      <c r="L16" s="3" t="inlineStr">
        <is>
          <t xml:space="preserve"/>
        </is>
      </c>
      <c r="M16" s="3">
        <f>M17+M18+M19</f>
        <v>0.790308360379701</v>
      </c>
      <c r="N16" s="3">
        <f>N17+N18+N19</f>
        <v>5.2256679900779535</v>
      </c>
      <c r="O16" s="3">
        <f>O17+O18+O19</f>
        <v>5.979867989136245</v>
      </c>
      <c r="P16" s="3">
        <f>P17+P18+P19</f>
        <v>6.750982001177136</v>
      </c>
      <c r="Q16" s="3">
        <f>Q17+Q18+Q19</f>
        <v>7.283118762232781</v>
      </c>
      <c r="R16" s="3">
        <f>R17+R18+R19</f>
        <v>5.440787135772054</v>
      </c>
      <c r="S16" s="3">
        <f>S17+S18+S19</f>
        <v>9.06264226109104</v>
      </c>
      <c r="T16" s="3">
        <f>T17+T18+T19</f>
        <v>6.67003067309081</v>
      </c>
      <c r="U16" s="3">
        <f>U17+U18+U19</f>
        <v>5.613253053076795</v>
      </c>
      <c r="V16" s="3">
        <f>V17+V18+V19</f>
        <v>6.680469190041592</v>
      </c>
      <c r="W16" s="3">
        <f>W17+W18+W19</f>
        <v>9.533808298286688</v>
      </c>
      <c r="X16" s="3">
        <f>X17+X18+X19</f>
        <v>14.392941544600152</v>
      </c>
    </row>
    <row r="17">
      <c r="A17" t="inlineStr">
        <is>
          <t xml:space="preserve"/>
        </is>
      </c>
      <c r="B17" t="inlineStr">
        <is>
          <t xml:space="preserve"/>
        </is>
      </c>
      <c r="C17" t="inlineStr">
        <is>
          <t xml:space="preserve">Оплата за работы</t>
        </is>
      </c>
      <c r="D17" t="inlineStr">
        <is>
          <t xml:space="preserve"/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s="2">
        <f>SUM(M17:X17)</f>
        <v>0</v>
      </c>
      <c r="J17" t="inlineStr">
        <is>
          <t xml:space="preserve"/>
        </is>
      </c>
      <c r="K17" s="2">
        <f>I17</f>
        <v>0</v>
      </c>
      <c r="L17" t="inlineStr">
        <is>
          <t xml:space="preserve"/>
        </is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t="inlineStr">
        <is>
          <t xml:space="preserve"/>
        </is>
      </c>
      <c r="B18" t="inlineStr">
        <is>
          <t xml:space="preserve"/>
        </is>
      </c>
      <c r="C18" t="inlineStr">
        <is>
          <t xml:space="preserve">Авансы</t>
        </is>
      </c>
      <c r="D18" t="inlineStr">
        <is>
          <t xml:space="preserve"/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s="2">
        <f>SUM(M18:X18)</f>
        <v>0</v>
      </c>
      <c r="J18" t="inlineStr">
        <is>
          <t xml:space="preserve"/>
        </is>
      </c>
      <c r="K18" s="2">
        <f>I18</f>
        <v>0</v>
      </c>
      <c r="L18" t="inlineStr">
        <is>
          <t xml:space="preserve"/>
        </is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</row>
    <row r="19">
      <c r="A19" t="inlineStr">
        <is>
          <t xml:space="preserve"/>
        </is>
      </c>
      <c r="B19" t="inlineStr">
        <is>
          <t xml:space="preserve"/>
        </is>
      </c>
      <c r="C19" t="inlineStr">
        <is>
          <t xml:space="preserve">Факторинг</t>
        </is>
      </c>
      <c r="D19" t="inlineStr">
        <is>
          <t xml:space="preserve"/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s="2">
        <f>SUM(M19:X19)</f>
        <v>0</v>
      </c>
      <c r="J19" t="inlineStr">
        <is>
          <t xml:space="preserve"/>
        </is>
      </c>
      <c r="K19" s="2">
        <f>I19</f>
        <v>0</v>
      </c>
      <c r="L19" t="inlineStr">
        <is>
          <t xml:space="preserve"/>
        </is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</row>
    <row r="20">
      <c r="A20" t="inlineStr">
        <is>
          <t xml:space="preserve"/>
        </is>
      </c>
      <c r="B20" t="inlineStr">
        <is>
          <t xml:space="preserve"/>
        </is>
      </c>
      <c r="C20" t="inlineStr">
        <is>
          <t xml:space="preserve">Выплаты по статьям расходов</t>
        </is>
      </c>
      <c r="D20" t="inlineStr">
        <is>
          <t xml:space="preserve"/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s="2">
        <f>SUM(M20:X20)</f>
        <v>0</v>
      </c>
      <c r="J20" t="inlineStr">
        <is>
          <t xml:space="preserve"/>
        </is>
      </c>
      <c r="K20" s="2">
        <f>I20</f>
        <v>0</v>
      </c>
      <c r="L20" t="inlineStr">
        <is>
          <t xml:space="preserve"/>
        </is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>
      <c r="A21" t="inlineStr">
        <is>
          <t xml:space="preserve"/>
        </is>
      </c>
      <c r="B21" t="inlineStr">
        <is>
          <t xml:space="preserve"/>
        </is>
      </c>
      <c r="C21" t="inlineStr">
        <is>
          <t xml:space="preserve">НДС к выплате</t>
        </is>
      </c>
      <c r="D21" t="inlineStr">
        <is>
          <t xml:space="preserve"/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s="2">
        <f>SUM(M21:X21)</f>
        <v>0</v>
      </c>
      <c r="J21" t="inlineStr">
        <is>
          <t xml:space="preserve"/>
        </is>
      </c>
      <c r="K21" s="2">
        <f>I21</f>
        <v>0</v>
      </c>
      <c r="L21" t="inlineStr">
        <is>
          <t xml:space="preserve"/>
        </is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</row>
    <row r="22">
      <c r="A22" s="3" t="inlineStr">
        <is>
          <t xml:space="preserve"/>
        </is>
      </c>
      <c r="B22" s="3" t="inlineStr">
        <is>
          <t xml:space="preserve"/>
        </is>
      </c>
      <c r="C22" s="3" t="inlineStr">
        <is>
          <t xml:space="preserve">CF за период</t>
        </is>
      </c>
      <c r="D22" s="3" t="inlineStr">
        <is>
          <t xml:space="preserve"/>
        </is>
      </c>
      <c r="E22" s="3" t="inlineStr">
        <is>
          <t xml:space="preserve"/>
        </is>
      </c>
      <c r="F22" s="3" t="inlineStr">
        <is>
          <t xml:space="preserve"/>
        </is>
      </c>
      <c r="G22" s="3" t="inlineStr">
        <is>
          <t xml:space="preserve"/>
        </is>
      </c>
      <c r="H22" s="3" t="inlineStr">
        <is>
          <t xml:space="preserve"/>
        </is>
      </c>
      <c r="I22" s="3">
        <f>SUM(M22:X22)</f>
        <v>83.42387725896296</v>
      </c>
      <c r="J22" s="3" t="inlineStr">
        <is>
          <t xml:space="preserve"/>
        </is>
      </c>
      <c r="K22" s="3">
        <f>I22</f>
        <v>83.42387725896296</v>
      </c>
      <c r="L22" s="3" t="inlineStr">
        <is>
          <t xml:space="preserve"/>
        </is>
      </c>
      <c r="M22" s="3">
        <f>M16-M20-M21</f>
        <v>0.790308360379701</v>
      </c>
      <c r="N22" s="3">
        <f>N16-N20-N21</f>
        <v>5.2256679900779535</v>
      </c>
      <c r="O22" s="3">
        <f>O16-O20-O21</f>
        <v>5.979867989136245</v>
      </c>
      <c r="P22" s="3">
        <f>P16-P20-P21</f>
        <v>6.750982001177136</v>
      </c>
      <c r="Q22" s="3">
        <f>Q16-Q20-Q21</f>
        <v>7.283118762232781</v>
      </c>
      <c r="R22" s="3">
        <f>R16-R20-R21</f>
        <v>5.440787135772054</v>
      </c>
      <c r="S22" s="3">
        <f>S16-S20-S21</f>
        <v>9.06264226109104</v>
      </c>
      <c r="T22" s="3">
        <f>T16-T20-T21</f>
        <v>6.67003067309081</v>
      </c>
      <c r="U22" s="3">
        <f>U16-U20-U21</f>
        <v>5.613253053076795</v>
      </c>
      <c r="V22" s="3">
        <f>V16-V20-V21</f>
        <v>6.680469190041592</v>
      </c>
      <c r="W22" s="3">
        <f>W16-W20-W21</f>
        <v>9.533808298286688</v>
      </c>
      <c r="X22" s="3">
        <f>X16-X20-X21</f>
        <v>14.392941544600152</v>
      </c>
    </row>
    <row r="23">
      <c r="A23" s="3" t="inlineStr">
        <is>
          <t xml:space="preserve"/>
        </is>
      </c>
      <c r="B23" s="3" t="inlineStr">
        <is>
          <t xml:space="preserve"/>
        </is>
      </c>
      <c r="C23" s="3" t="inlineStr">
        <is>
          <t xml:space="preserve">CF накопительно</t>
        </is>
      </c>
      <c r="D23" s="3" t="inlineStr">
        <is>
          <t xml:space="preserve"/>
        </is>
      </c>
      <c r="E23" s="3" t="inlineStr">
        <is>
          <t xml:space="preserve"/>
        </is>
      </c>
      <c r="F23" s="3" t="inlineStr">
        <is>
          <t xml:space="preserve"/>
        </is>
      </c>
      <c r="G23" s="3" t="inlineStr">
        <is>
          <t xml:space="preserve"/>
        </is>
      </c>
      <c r="H23" s="3" t="inlineStr">
        <is>
          <t xml:space="preserve"/>
        </is>
      </c>
      <c r="I23" s="3">
        <f>X23</f>
        <v>83.42387725896296</v>
      </c>
      <c r="J23" s="3" t="inlineStr">
        <is>
          <t xml:space="preserve"/>
        </is>
      </c>
      <c r="K23" s="3">
        <f>I23</f>
        <v>83.42387725896296</v>
      </c>
      <c r="L23" s="3" t="inlineStr">
        <is>
          <t xml:space="preserve"/>
        </is>
      </c>
      <c r="M23" s="3">
        <f>M22+0</f>
        <v>0.790308360379701</v>
      </c>
      <c r="N23" s="3">
        <f>M23+N22</f>
        <v>6.015976350457655</v>
      </c>
      <c r="O23" s="3">
        <f>N23+O22</f>
        <v>11.9958443395939</v>
      </c>
      <c r="P23" s="3">
        <f>O23+P22</f>
        <v>18.746826340771033</v>
      </c>
      <c r="Q23" s="3">
        <f>P23+Q22</f>
        <v>26.029945103003815</v>
      </c>
      <c r="R23" s="3">
        <f>Q23+R22</f>
        <v>31.470732238775867</v>
      </c>
      <c r="S23" s="3">
        <f>R23+S22</f>
        <v>40.53337449986691</v>
      </c>
      <c r="T23" s="3">
        <f>S23+T22</f>
        <v>47.203405172957716</v>
      </c>
      <c r="U23" s="3">
        <f>T23+U22</f>
        <v>52.81665822603451</v>
      </c>
      <c r="V23" s="3">
        <f>U23+V22</f>
        <v>59.49712741607611</v>
      </c>
      <c r="W23" s="3">
        <f>V23+W22</f>
        <v>69.0309357143628</v>
      </c>
      <c r="X23" s="3">
        <f>W23+X22</f>
        <v>83.42387725896296</v>
      </c>
    </row>
    <row r="24">
      <c r="A24" t="inlineStr">
        <is>
          <t xml:space="preserve"/>
        </is>
      </c>
      <c r="B24" t="inlineStr">
        <is>
          <t xml:space="preserve"/>
        </is>
      </c>
      <c r="C24" t="inlineStr">
        <is>
          <t xml:space="preserve">Прямые: Заработная плата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s="2">
        <f>SUM(M24:X24)</f>
        <v>0</v>
      </c>
      <c r="J24" t="inlineStr">
        <is>
          <t xml:space="preserve"/>
        </is>
      </c>
      <c r="K24" s="2">
        <f>I24</f>
        <v>0</v>
      </c>
      <c r="L24" t="inlineStr">
        <is>
          <t xml:space="preserve"/>
        </is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  <row r="25">
      <c r="A25" t="inlineStr">
        <is>
          <t xml:space="preserve"/>
        </is>
      </c>
      <c r="B25" t="inlineStr">
        <is>
          <t xml:space="preserve"/>
        </is>
      </c>
      <c r="C25" t="inlineStr">
        <is>
          <t xml:space="preserve">Прямые: НДФЛ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s="2">
        <f>SUM(M25:X25)</f>
        <v>0</v>
      </c>
      <c r="J25" t="inlineStr">
        <is>
          <t xml:space="preserve"/>
        </is>
      </c>
      <c r="K25" s="2">
        <f>I25</f>
        <v>0</v>
      </c>
      <c r="L25" t="inlineStr">
        <is>
          <t xml:space="preserve"/>
        </is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>
      <c r="A26" t="inlineStr">
        <is>
          <t xml:space="preserve"/>
        </is>
      </c>
      <c r="B26" t="inlineStr">
        <is>
          <t xml:space="preserve"/>
        </is>
      </c>
      <c r="C26" t="inlineStr">
        <is>
          <t xml:space="preserve">Прямые: Страховые взносы</t>
        </is>
      </c>
      <c r="D26" t="inlineStr">
        <is>
          <t xml:space="preserve"/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s="2">
        <f>SUM(M26:X26)</f>
        <v>0</v>
      </c>
      <c r="J26" t="inlineStr">
        <is>
          <t xml:space="preserve"/>
        </is>
      </c>
      <c r="K26" s="2">
        <f>I26</f>
        <v>0</v>
      </c>
      <c r="L26" t="inlineStr">
        <is>
          <t xml:space="preserve"/>
        </is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</row>
    <row r="27">
      <c r="A27" t="inlineStr">
        <is>
          <t xml:space="preserve"/>
        </is>
      </c>
      <c r="B27" t="inlineStr">
        <is>
          <t xml:space="preserve"/>
        </is>
      </c>
      <c r="C27" t="inlineStr">
        <is>
          <t xml:space="preserve">Прямые: Резерв на отпуска</t>
        </is>
      </c>
      <c r="D27" t="inlineStr">
        <is>
          <t xml:space="preserve"/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s="2">
        <f>SUM(M27:X27)</f>
        <v>0</v>
      </c>
      <c r="J27" t="inlineStr">
        <is>
          <t xml:space="preserve"/>
        </is>
      </c>
      <c r="K27" s="2">
        <f>I27</f>
        <v>0</v>
      </c>
      <c r="L27" t="inlineStr">
        <is>
          <t xml:space="preserve"/>
        </is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</row>
    <row r="28">
      <c r="A28" t="inlineStr">
        <is>
          <t xml:space="preserve"/>
        </is>
      </c>
      <c r="B28" t="inlineStr">
        <is>
          <t xml:space="preserve"/>
        </is>
      </c>
      <c r="C28" t="inlineStr">
        <is>
          <t xml:space="preserve">Прямые: Субподряд</t>
        </is>
      </c>
      <c r="D28" t="inlineStr">
        <is>
          <t xml:space="preserve"/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s="2">
        <f>SUM(M28:X28)</f>
        <v>0</v>
      </c>
      <c r="J28" t="inlineStr">
        <is>
          <t xml:space="preserve"/>
        </is>
      </c>
      <c r="K28" s="2">
        <f>I28</f>
        <v>0</v>
      </c>
      <c r="L28" t="inlineStr">
        <is>
          <t xml:space="preserve"/>
        </is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</row>
    <row r="29">
      <c r="A29" t="inlineStr">
        <is>
          <t xml:space="preserve"/>
        </is>
      </c>
      <c r="B29" t="inlineStr">
        <is>
          <t xml:space="preserve"/>
        </is>
      </c>
      <c r="C29" t="inlineStr">
        <is>
          <t xml:space="preserve">Прямые: Строительная техника</t>
        </is>
      </c>
      <c r="D29" t="inlineStr">
        <is>
          <t xml:space="preserve"/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s="2">
        <f>SUM(M29:X29)</f>
        <v>0</v>
      </c>
      <c r="J29" t="inlineStr">
        <is>
          <t xml:space="preserve"/>
        </is>
      </c>
      <c r="K29" s="2">
        <f>I29</f>
        <v>0</v>
      </c>
      <c r="L29" t="inlineStr">
        <is>
          <t xml:space="preserve"/>
        </is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</row>
    <row r="30">
      <c r="A30" t="inlineStr">
        <is>
          <t xml:space="preserve"/>
        </is>
      </c>
      <c r="B30" t="inlineStr">
        <is>
          <t xml:space="preserve"/>
        </is>
      </c>
      <c r="C30" t="inlineStr">
        <is>
          <t xml:space="preserve">Прямые: Строительные леса</t>
        </is>
      </c>
      <c r="D30" t="inlineStr">
        <is>
          <t xml:space="preserve"/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s="2">
        <f>SUM(M30:X30)</f>
        <v>0</v>
      </c>
      <c r="J30" t="inlineStr">
        <is>
          <t xml:space="preserve"/>
        </is>
      </c>
      <c r="K30" s="2">
        <f>I30</f>
        <v>0</v>
      </c>
      <c r="L30" t="inlineStr">
        <is>
          <t xml:space="preserve"/>
        </is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</row>
    <row r="31">
      <c r="A31" t="inlineStr">
        <is>
          <t xml:space="preserve"/>
        </is>
      </c>
      <c r="B31" t="inlineStr">
        <is>
          <t xml:space="preserve"/>
        </is>
      </c>
      <c r="C31" t="inlineStr">
        <is>
          <t xml:space="preserve">Прямые: Лесомонтаж</t>
        </is>
      </c>
      <c r="D31" t="inlineStr">
        <is>
          <t xml:space="preserve"/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s="2">
        <f>SUM(M31:X31)</f>
        <v>0</v>
      </c>
      <c r="J31" t="inlineStr">
        <is>
          <t xml:space="preserve"/>
        </is>
      </c>
      <c r="K31" s="2">
        <f>I31</f>
        <v>0</v>
      </c>
      <c r="L31" t="inlineStr">
        <is>
          <t xml:space="preserve"/>
        </is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</row>
    <row r="32">
      <c r="A32" t="inlineStr">
        <is>
          <t xml:space="preserve"/>
        </is>
      </c>
      <c r="B32" t="inlineStr">
        <is>
          <t xml:space="preserve"/>
        </is>
      </c>
      <c r="C32" t="inlineStr">
        <is>
          <t xml:space="preserve">Прямые: Проектные материалы</t>
        </is>
      </c>
      <c r="D32" t="inlineStr">
        <is>
          <t xml:space="preserve"/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s="2">
        <f>SUM(M32:X32)</f>
        <v>0</v>
      </c>
      <c r="J32" t="inlineStr">
        <is>
          <t xml:space="preserve"/>
        </is>
      </c>
      <c r="K32" s="2">
        <f>I32</f>
        <v>0</v>
      </c>
      <c r="L32" t="inlineStr">
        <is>
          <t xml:space="preserve"/>
        </is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</row>
    <row r="33">
      <c r="A33" t="inlineStr">
        <is>
          <t xml:space="preserve"/>
        </is>
      </c>
      <c r="B33" t="inlineStr">
        <is>
          <t xml:space="preserve"/>
        </is>
      </c>
      <c r="C33" t="inlineStr">
        <is>
          <t xml:space="preserve">Прямые: Расходные материалы</t>
        </is>
      </c>
      <c r="D33" t="inlineStr">
        <is>
          <t xml:space="preserve"/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/>
        </is>
      </c>
      <c r="H33" t="inlineStr">
        <is>
          <t xml:space="preserve"/>
        </is>
      </c>
      <c r="I33" s="2">
        <f>SUM(M33:X33)</f>
        <v>0</v>
      </c>
      <c r="J33" t="inlineStr">
        <is>
          <t xml:space="preserve"/>
        </is>
      </c>
      <c r="K33" s="2">
        <f>I33</f>
        <v>0</v>
      </c>
      <c r="L33" t="inlineStr">
        <is>
          <t xml:space="preserve"/>
        </is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</row>
    <row r="34">
      <c r="A34" t="inlineStr">
        <is>
          <t xml:space="preserve"/>
        </is>
      </c>
      <c r="B34" t="inlineStr">
        <is>
          <t xml:space="preserve"/>
        </is>
      </c>
      <c r="C34" t="inlineStr">
        <is>
          <t xml:space="preserve">Прямые: НРК</t>
        </is>
      </c>
      <c r="D34" t="inlineStr">
        <is>
          <t xml:space="preserve"/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/>
        </is>
      </c>
      <c r="H34" t="inlineStr">
        <is>
          <t xml:space="preserve"/>
        </is>
      </c>
      <c r="I34" s="2">
        <f>SUM(M34:X34)</f>
        <v>0</v>
      </c>
      <c r="J34" t="inlineStr">
        <is>
          <t xml:space="preserve"/>
        </is>
      </c>
      <c r="K34" s="2">
        <f>I34</f>
        <v>0</v>
      </c>
      <c r="L34" t="inlineStr">
        <is>
          <t xml:space="preserve"/>
        </is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</row>
    <row r="35">
      <c r="A35" t="inlineStr">
        <is>
          <t xml:space="preserve"/>
        </is>
      </c>
      <c r="B35" t="inlineStr">
        <is>
          <t xml:space="preserve"/>
        </is>
      </c>
      <c r="C35" t="inlineStr">
        <is>
          <t xml:space="preserve">Прямые: Прочие прямые</t>
        </is>
      </c>
      <c r="D35" t="inlineStr">
        <is>
          <t xml:space="preserve"/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s="2">
        <f>SUM(M35:X35)</f>
        <v>0</v>
      </c>
      <c r="J35" t="inlineStr">
        <is>
          <t xml:space="preserve"/>
        </is>
      </c>
      <c r="K35" s="2">
        <f>I35</f>
        <v>0</v>
      </c>
      <c r="L35" t="inlineStr">
        <is>
          <t xml:space="preserve"/>
        </is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</row>
    <row r="36">
      <c r="A36" t="inlineStr">
        <is>
          <t xml:space="preserve"/>
        </is>
      </c>
      <c r="B36" t="inlineStr">
        <is>
          <t xml:space="preserve"/>
        </is>
      </c>
      <c r="C36" t="inlineStr">
        <is>
          <t xml:space="preserve">Косвенные: Заработная плата</t>
        </is>
      </c>
      <c r="D36" t="inlineStr">
        <is>
          <t xml:space="preserve"/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s="2">
        <f>SUM(M36:X36)</f>
        <v>0</v>
      </c>
      <c r="J36" t="inlineStr">
        <is>
          <t xml:space="preserve"/>
        </is>
      </c>
      <c r="K36" s="2">
        <f>I36</f>
        <v>0</v>
      </c>
      <c r="L36" t="inlineStr">
        <is>
          <t xml:space="preserve"/>
        </is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</row>
    <row r="37">
      <c r="A37" t="inlineStr">
        <is>
          <t xml:space="preserve"/>
        </is>
      </c>
      <c r="B37" t="inlineStr">
        <is>
          <t xml:space="preserve"/>
        </is>
      </c>
      <c r="C37" t="inlineStr">
        <is>
          <t xml:space="preserve">Косвенные: НДФЛ</t>
        </is>
      </c>
      <c r="D37" t="inlineStr">
        <is>
          <t xml:space="preserve"/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s="2">
        <f>SUM(M37:X37)</f>
        <v>0</v>
      </c>
      <c r="J37" t="inlineStr">
        <is>
          <t xml:space="preserve"/>
        </is>
      </c>
      <c r="K37" s="2">
        <f>I37</f>
        <v>0</v>
      </c>
      <c r="L37" t="inlineStr">
        <is>
          <t xml:space="preserve"/>
        </is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</row>
    <row r="38">
      <c r="A38" t="inlineStr">
        <is>
          <t xml:space="preserve"/>
        </is>
      </c>
      <c r="B38" t="inlineStr">
        <is>
          <t xml:space="preserve"/>
        </is>
      </c>
      <c r="C38" t="inlineStr">
        <is>
          <t xml:space="preserve">Косвенные: Страховые взносы</t>
        </is>
      </c>
      <c r="D38" t="inlineStr">
        <is>
          <t xml:space="preserve"/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/>
        </is>
      </c>
      <c r="H38" t="inlineStr">
        <is>
          <t xml:space="preserve"/>
        </is>
      </c>
      <c r="I38" s="2">
        <f>SUM(M38:X38)</f>
        <v>0</v>
      </c>
      <c r="J38" t="inlineStr">
        <is>
          <t xml:space="preserve"/>
        </is>
      </c>
      <c r="K38" s="2">
        <f>I38</f>
        <v>0</v>
      </c>
      <c r="L38" t="inlineStr">
        <is>
          <t xml:space="preserve"/>
        </is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</row>
    <row r="39">
      <c r="A39" t="inlineStr">
        <is>
          <t xml:space="preserve"/>
        </is>
      </c>
      <c r="B39" t="inlineStr">
        <is>
          <t xml:space="preserve"/>
        </is>
      </c>
      <c r="C39" t="inlineStr">
        <is>
          <t xml:space="preserve">Косвенные: Резерв на отпуска</t>
        </is>
      </c>
      <c r="D39" t="inlineStr">
        <is>
          <t xml:space="preserve"/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/>
        </is>
      </c>
      <c r="H39" t="inlineStr">
        <is>
          <t xml:space="preserve"/>
        </is>
      </c>
      <c r="I39" s="2">
        <f>SUM(M39:X39)</f>
        <v>0</v>
      </c>
      <c r="J39" t="inlineStr">
        <is>
          <t xml:space="preserve"/>
        </is>
      </c>
      <c r="K39" s="2">
        <f>I39</f>
        <v>0</v>
      </c>
      <c r="L39" t="inlineStr">
        <is>
          <t xml:space="preserve"/>
        </is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</row>
    <row r="40">
      <c r="A40" t="inlineStr">
        <is>
          <t xml:space="preserve"/>
        </is>
      </c>
      <c r="B40" t="inlineStr">
        <is>
          <t xml:space="preserve"/>
        </is>
      </c>
      <c r="C40" t="inlineStr">
        <is>
          <t xml:space="preserve">Косвенные: Питание</t>
        </is>
      </c>
      <c r="D40" t="inlineStr">
        <is>
          <t xml:space="preserve"/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/>
        </is>
      </c>
      <c r="H40" t="inlineStr">
        <is>
          <t xml:space="preserve"/>
        </is>
      </c>
      <c r="I40" s="2">
        <f>SUM(M40:X40)</f>
        <v>0</v>
      </c>
      <c r="J40" t="inlineStr">
        <is>
          <t xml:space="preserve"/>
        </is>
      </c>
      <c r="K40" s="2">
        <f>I40</f>
        <v>0</v>
      </c>
      <c r="L40" t="inlineStr">
        <is>
          <t xml:space="preserve"/>
        </is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</row>
    <row r="41">
      <c r="A41" t="inlineStr">
        <is>
          <t xml:space="preserve"/>
        </is>
      </c>
      <c r="B41" t="inlineStr">
        <is>
          <t xml:space="preserve"/>
        </is>
      </c>
      <c r="C41" t="inlineStr">
        <is>
          <t xml:space="preserve">Косвенные: Проживание</t>
        </is>
      </c>
      <c r="D41" t="inlineStr">
        <is>
          <t xml:space="preserve"/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s="2">
        <f>SUM(M41:X41)</f>
        <v>0</v>
      </c>
      <c r="J41" t="inlineStr">
        <is>
          <t xml:space="preserve"/>
        </is>
      </c>
      <c r="K41" s="2">
        <f>I41</f>
        <v>0</v>
      </c>
      <c r="L41" t="inlineStr">
        <is>
          <t xml:space="preserve"/>
        </is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</row>
    <row r="42">
      <c r="A42" t="inlineStr">
        <is>
          <t xml:space="preserve"/>
        </is>
      </c>
      <c r="B42" t="inlineStr">
        <is>
          <t xml:space="preserve"/>
        </is>
      </c>
      <c r="C42" t="inlineStr">
        <is>
          <t xml:space="preserve">Косвенные: Аренда автобусов</t>
        </is>
      </c>
      <c r="D42" t="inlineStr">
        <is>
          <t xml:space="preserve"/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s="2">
        <f>SUM(M42:X42)</f>
        <v>0</v>
      </c>
      <c r="J42" t="inlineStr">
        <is>
          <t xml:space="preserve"/>
        </is>
      </c>
      <c r="K42" s="2">
        <f>I42</f>
        <v>0</v>
      </c>
      <c r="L42" t="inlineStr">
        <is>
          <t xml:space="preserve"/>
        </is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</row>
    <row r="43">
      <c r="A43" t="inlineStr">
        <is>
          <t xml:space="preserve"/>
        </is>
      </c>
      <c r="B43" t="inlineStr">
        <is>
          <t xml:space="preserve"/>
        </is>
      </c>
      <c r="C43" t="inlineStr">
        <is>
          <t xml:space="preserve">Косвенные: Аренда автомобиля</t>
        </is>
      </c>
      <c r="D43" t="inlineStr">
        <is>
          <t xml:space="preserve"/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s="2">
        <f>SUM(M43:X43)</f>
        <v>0</v>
      </c>
      <c r="J43" t="inlineStr">
        <is>
          <t xml:space="preserve"/>
        </is>
      </c>
      <c r="K43" s="2">
        <f>I43</f>
        <v>0</v>
      </c>
      <c r="L43" t="inlineStr">
        <is>
          <t xml:space="preserve"/>
        </is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</row>
    <row r="44">
      <c r="A44" t="inlineStr">
        <is>
          <t xml:space="preserve"/>
        </is>
      </c>
      <c r="B44" t="inlineStr">
        <is>
          <t xml:space="preserve"/>
        </is>
      </c>
      <c r="C44" t="inlineStr">
        <is>
          <t xml:space="preserve">Косвенные: Аренда опалубки</t>
        </is>
      </c>
      <c r="D44" t="inlineStr">
        <is>
          <t xml:space="preserve"/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/>
        </is>
      </c>
      <c r="H44" t="inlineStr">
        <is>
          <t xml:space="preserve"/>
        </is>
      </c>
      <c r="I44" s="2">
        <f>SUM(M44:X44)</f>
        <v>0</v>
      </c>
      <c r="J44" t="inlineStr">
        <is>
          <t xml:space="preserve"/>
        </is>
      </c>
      <c r="K44" s="2">
        <f>I44</f>
        <v>0</v>
      </c>
      <c r="L44" t="inlineStr">
        <is>
          <t xml:space="preserve"/>
        </is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</row>
    <row r="45">
      <c r="A45" t="inlineStr">
        <is>
          <t xml:space="preserve"/>
        </is>
      </c>
      <c r="B45" t="inlineStr">
        <is>
          <t xml:space="preserve"/>
        </is>
      </c>
      <c r="C45" t="inlineStr">
        <is>
          <t xml:space="preserve">Косвенные: СИЗы</t>
        </is>
      </c>
      <c r="D45" t="inlineStr">
        <is>
          <t xml:space="preserve"/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/>
        </is>
      </c>
      <c r="H45" t="inlineStr">
        <is>
          <t xml:space="preserve"/>
        </is>
      </c>
      <c r="I45" s="2">
        <f>SUM(M45:X45)</f>
        <v>0</v>
      </c>
      <c r="J45" t="inlineStr">
        <is>
          <t xml:space="preserve"/>
        </is>
      </c>
      <c r="K45" s="2">
        <f>I45</f>
        <v>0</v>
      </c>
      <c r="L45" t="inlineStr">
        <is>
          <t xml:space="preserve"/>
        </is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</row>
    <row r="46">
      <c r="A46" t="inlineStr">
        <is>
          <t xml:space="preserve"/>
        </is>
      </c>
      <c r="B46" t="inlineStr">
        <is>
          <t xml:space="preserve"/>
        </is>
      </c>
      <c r="C46" t="inlineStr">
        <is>
          <t xml:space="preserve">Косвенные: Приобретение билетов</t>
        </is>
      </c>
      <c r="D46" t="inlineStr">
        <is>
          <t xml:space="preserve"/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/>
        </is>
      </c>
      <c r="H46" t="inlineStr">
        <is>
          <t xml:space="preserve"/>
        </is>
      </c>
      <c r="I46" s="2">
        <f>SUM(M46:X46)</f>
        <v>0</v>
      </c>
      <c r="J46" t="inlineStr">
        <is>
          <t xml:space="preserve"/>
        </is>
      </c>
      <c r="K46" s="2">
        <f>I46</f>
        <v>0</v>
      </c>
      <c r="L46" t="inlineStr">
        <is>
          <t xml:space="preserve"/>
        </is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</row>
    <row r="47">
      <c r="A47" t="inlineStr">
        <is>
          <t xml:space="preserve"/>
        </is>
      </c>
      <c r="B47" t="inlineStr">
        <is>
          <t xml:space="preserve"/>
        </is>
      </c>
      <c r="C47" t="inlineStr">
        <is>
          <t xml:space="preserve">Косвенные: Разрешение на работу</t>
        </is>
      </c>
      <c r="D47" t="inlineStr">
        <is>
          <t xml:space="preserve"/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s="2">
        <f>SUM(M47:X47)</f>
        <v>0</v>
      </c>
      <c r="J47" t="inlineStr">
        <is>
          <t xml:space="preserve"/>
        </is>
      </c>
      <c r="K47" s="2">
        <f>I47</f>
        <v>0</v>
      </c>
      <c r="L47" t="inlineStr">
        <is>
          <t xml:space="preserve"/>
        </is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</row>
    <row r="48">
      <c r="A48" t="inlineStr">
        <is>
          <t xml:space="preserve"/>
        </is>
      </c>
      <c r="B48" t="inlineStr">
        <is>
          <t xml:space="preserve"/>
        </is>
      </c>
      <c r="C48" t="inlineStr">
        <is>
          <t xml:space="preserve">Косвенные: Медицинские услуги</t>
        </is>
      </c>
      <c r="D48" t="inlineStr">
        <is>
          <t xml:space="preserve"/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/>
        </is>
      </c>
      <c r="H48" t="inlineStr">
        <is>
          <t xml:space="preserve"/>
        </is>
      </c>
      <c r="I48" s="2">
        <f>SUM(M48:X48)</f>
        <v>0</v>
      </c>
      <c r="J48" t="inlineStr">
        <is>
          <t xml:space="preserve"/>
        </is>
      </c>
      <c r="K48" s="2">
        <f>I48</f>
        <v>0</v>
      </c>
      <c r="L48" t="inlineStr">
        <is>
          <t xml:space="preserve"/>
        </is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</row>
    <row r="49">
      <c r="A49" t="inlineStr">
        <is>
          <t xml:space="preserve"/>
        </is>
      </c>
      <c r="B49" t="inlineStr">
        <is>
          <t xml:space="preserve"/>
        </is>
      </c>
      <c r="C49" t="inlineStr">
        <is>
          <t xml:space="preserve">Косвенные: ВЗиС для ОР</t>
        </is>
      </c>
      <c r="D49" t="inlineStr">
        <is>
          <t xml:space="preserve"/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/>
        </is>
      </c>
      <c r="H49" t="inlineStr">
        <is>
          <t xml:space="preserve"/>
        </is>
      </c>
      <c r="I49" s="2">
        <f>SUM(M49:X49)</f>
        <v>0</v>
      </c>
      <c r="J49" t="inlineStr">
        <is>
          <t xml:space="preserve"/>
        </is>
      </c>
      <c r="K49" s="2">
        <f>I49</f>
        <v>0</v>
      </c>
      <c r="L49" t="inlineStr">
        <is>
          <t xml:space="preserve"/>
        </is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</row>
    <row r="50">
      <c r="A50" t="inlineStr">
        <is>
          <t xml:space="preserve"/>
        </is>
      </c>
      <c r="B50" t="inlineStr">
        <is>
          <t xml:space="preserve"/>
        </is>
      </c>
      <c r="C50" t="inlineStr">
        <is>
          <t xml:space="preserve">Косвенные: Аренда офиса</t>
        </is>
      </c>
      <c r="D50" t="inlineStr">
        <is>
          <t xml:space="preserve"/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/>
        </is>
      </c>
      <c r="H50" t="inlineStr">
        <is>
          <t xml:space="preserve"/>
        </is>
      </c>
      <c r="I50" s="2">
        <f>SUM(M50:X50)</f>
        <v>0</v>
      </c>
      <c r="J50" t="inlineStr">
        <is>
          <t xml:space="preserve"/>
        </is>
      </c>
      <c r="K50" s="2">
        <f>I50</f>
        <v>0</v>
      </c>
      <c r="L50" t="inlineStr">
        <is>
          <t xml:space="preserve"/>
        </is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</row>
    <row r="51">
      <c r="A51" t="inlineStr">
        <is>
          <t xml:space="preserve"/>
        </is>
      </c>
      <c r="B51" t="inlineStr">
        <is>
          <t xml:space="preserve"/>
        </is>
      </c>
      <c r="C51" t="inlineStr">
        <is>
          <t xml:space="preserve">Косвенные: Аренда склада</t>
        </is>
      </c>
      <c r="D51" t="inlineStr">
        <is>
          <t xml:space="preserve"/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/>
        </is>
      </c>
      <c r="H51" t="inlineStr">
        <is>
          <t xml:space="preserve"/>
        </is>
      </c>
      <c r="I51" s="2">
        <f>SUM(M51:X51)</f>
        <v>0</v>
      </c>
      <c r="J51" t="inlineStr">
        <is>
          <t xml:space="preserve"/>
        </is>
      </c>
      <c r="K51" s="2">
        <f>I51</f>
        <v>0</v>
      </c>
      <c r="L51" t="inlineStr">
        <is>
          <t xml:space="preserve"/>
        </is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</row>
    <row r="52">
      <c r="A52" t="inlineStr">
        <is>
          <t xml:space="preserve"/>
        </is>
      </c>
      <c r="B52" t="inlineStr">
        <is>
          <t xml:space="preserve"/>
        </is>
      </c>
      <c r="C52" t="inlineStr">
        <is>
          <t xml:space="preserve">Косвенные: Интернет</t>
        </is>
      </c>
      <c r="D52" t="inlineStr">
        <is>
          <t xml:space="preserve"/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s="2">
        <f>SUM(M52:X52)</f>
        <v>0</v>
      </c>
      <c r="J52" t="inlineStr">
        <is>
          <t xml:space="preserve"/>
        </is>
      </c>
      <c r="K52" s="2">
        <f>I52</f>
        <v>0</v>
      </c>
      <c r="L52" t="inlineStr">
        <is>
          <t xml:space="preserve"/>
        </is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</row>
    <row r="53">
      <c r="A53" t="inlineStr">
        <is>
          <t xml:space="preserve"/>
        </is>
      </c>
      <c r="B53" t="inlineStr">
        <is>
          <t xml:space="preserve"/>
        </is>
      </c>
      <c r="C53" t="inlineStr">
        <is>
          <t xml:space="preserve">Косвенные: Обращение с ТБО и ЖБО</t>
        </is>
      </c>
      <c r="D53" t="inlineStr">
        <is>
          <t xml:space="preserve"/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/>
        </is>
      </c>
      <c r="H53" t="inlineStr">
        <is>
          <t xml:space="preserve"/>
        </is>
      </c>
      <c r="I53" s="2">
        <f>SUM(M53:X53)</f>
        <v>0</v>
      </c>
      <c r="J53" t="inlineStr">
        <is>
          <t xml:space="preserve"/>
        </is>
      </c>
      <c r="K53" s="2">
        <f>I53</f>
        <v>0</v>
      </c>
      <c r="L53" t="inlineStr">
        <is>
          <t xml:space="preserve"/>
        </is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</row>
    <row r="54">
      <c r="A54" t="inlineStr">
        <is>
          <t xml:space="preserve"/>
        </is>
      </c>
      <c r="B54" t="inlineStr">
        <is>
          <t xml:space="preserve"/>
        </is>
      </c>
      <c r="C54" t="inlineStr">
        <is>
          <t xml:space="preserve">Косвенные: Охрана труда</t>
        </is>
      </c>
      <c r="D54" t="inlineStr">
        <is>
          <t xml:space="preserve"/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/>
        </is>
      </c>
      <c r="H54" t="inlineStr">
        <is>
          <t xml:space="preserve"/>
        </is>
      </c>
      <c r="I54" s="2">
        <f>SUM(M54:X54)</f>
        <v>0</v>
      </c>
      <c r="J54" t="inlineStr">
        <is>
          <t xml:space="preserve"/>
        </is>
      </c>
      <c r="K54" s="2">
        <f>I54</f>
        <v>0</v>
      </c>
      <c r="L54" t="inlineStr">
        <is>
          <t xml:space="preserve"/>
        </is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</row>
    <row r="55">
      <c r="A55" t="inlineStr">
        <is>
          <t xml:space="preserve"/>
        </is>
      </c>
      <c r="B55" t="inlineStr">
        <is>
          <t xml:space="preserve"/>
        </is>
      </c>
      <c r="C55" t="inlineStr">
        <is>
          <t xml:space="preserve">Косвенные: Страхование от НС</t>
        </is>
      </c>
      <c r="D55" t="inlineStr">
        <is>
          <t xml:space="preserve"/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/>
        </is>
      </c>
      <c r="H55" t="inlineStr">
        <is>
          <t xml:space="preserve"/>
        </is>
      </c>
      <c r="I55" s="2">
        <f>SUM(M55:X55)</f>
        <v>0</v>
      </c>
      <c r="J55" t="inlineStr">
        <is>
          <t xml:space="preserve"/>
        </is>
      </c>
      <c r="K55" s="2">
        <f>I55</f>
        <v>0</v>
      </c>
      <c r="L55" t="inlineStr">
        <is>
          <t xml:space="preserve"/>
        </is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</row>
    <row r="56">
      <c r="A56" t="inlineStr">
        <is>
          <t xml:space="preserve"/>
        </is>
      </c>
      <c r="B56" t="inlineStr">
        <is>
          <t xml:space="preserve"/>
        </is>
      </c>
      <c r="C56" t="inlineStr">
        <is>
          <t xml:space="preserve">Косвенные: IT-материалы</t>
        </is>
      </c>
      <c r="D56" t="inlineStr">
        <is>
          <t xml:space="preserve"/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s="2">
        <f>SUM(M56:X56)</f>
        <v>0</v>
      </c>
      <c r="J56" t="inlineStr">
        <is>
          <t xml:space="preserve"/>
        </is>
      </c>
      <c r="K56" s="2">
        <f>I56</f>
        <v>0</v>
      </c>
      <c r="L56" t="inlineStr">
        <is>
          <t xml:space="preserve"/>
        </is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</row>
    <row r="57">
      <c r="A57" t="inlineStr">
        <is>
          <t xml:space="preserve"/>
        </is>
      </c>
      <c r="B57" t="inlineStr">
        <is>
          <t xml:space="preserve"/>
        </is>
      </c>
      <c r="C57" t="inlineStr">
        <is>
          <t xml:space="preserve">Косвенные: Приобретение контейнеров</t>
        </is>
      </c>
      <c r="D57" t="inlineStr">
        <is>
          <t xml:space="preserve"/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s="2">
        <f>SUM(M57:X57)</f>
        <v>0</v>
      </c>
      <c r="J57" t="inlineStr">
        <is>
          <t xml:space="preserve"/>
        </is>
      </c>
      <c r="K57" s="2">
        <f>I57</f>
        <v>0</v>
      </c>
      <c r="L57" t="inlineStr">
        <is>
          <t xml:space="preserve"/>
        </is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</row>
    <row r="58">
      <c r="A58" t="inlineStr">
        <is>
          <t xml:space="preserve"/>
        </is>
      </c>
      <c r="B58" t="inlineStr">
        <is>
          <t xml:space="preserve"/>
        </is>
      </c>
      <c r="C58" t="inlineStr">
        <is>
          <t xml:space="preserve">Косвенные: Приобретение модульного офиса</t>
        </is>
      </c>
      <c r="D58" t="inlineStr">
        <is>
          <t xml:space="preserve"/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/>
        </is>
      </c>
      <c r="H58" t="inlineStr">
        <is>
          <t xml:space="preserve"/>
        </is>
      </c>
      <c r="I58" s="2">
        <f>SUM(M58:X58)</f>
        <v>0</v>
      </c>
      <c r="J58" t="inlineStr">
        <is>
          <t xml:space="preserve"/>
        </is>
      </c>
      <c r="K58" s="2">
        <f>I58</f>
        <v>0</v>
      </c>
      <c r="L58" t="inlineStr">
        <is>
          <t xml:space="preserve"/>
        </is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</row>
    <row r="59">
      <c r="A59" t="inlineStr">
        <is>
          <t xml:space="preserve"/>
        </is>
      </c>
      <c r="B59" t="inlineStr">
        <is>
          <t xml:space="preserve"/>
        </is>
      </c>
      <c r="C59" t="inlineStr">
        <is>
          <t xml:space="preserve">Косвенные: Транспортные услуги</t>
        </is>
      </c>
      <c r="D59" t="inlineStr">
        <is>
          <t xml:space="preserve"/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/>
        </is>
      </c>
      <c r="H59" t="inlineStr">
        <is>
          <t xml:space="preserve"/>
        </is>
      </c>
      <c r="I59" s="2">
        <f>SUM(M59:X59)</f>
        <v>0</v>
      </c>
      <c r="J59" t="inlineStr">
        <is>
          <t xml:space="preserve"/>
        </is>
      </c>
      <c r="K59" s="2">
        <f>I59</f>
        <v>0</v>
      </c>
      <c r="L59" t="inlineStr">
        <is>
          <t xml:space="preserve"/>
        </is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</row>
    <row r="60">
      <c r="A60" t="inlineStr">
        <is>
          <t xml:space="preserve"/>
        </is>
      </c>
      <c r="B60" t="inlineStr">
        <is>
          <t xml:space="preserve"/>
        </is>
      </c>
      <c r="C60" t="inlineStr">
        <is>
          <t xml:space="preserve">Косвенные: Прочие косвенные расходы</t>
        </is>
      </c>
      <c r="D60" t="inlineStr">
        <is>
          <t xml:space="preserve"/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/>
        </is>
      </c>
      <c r="H60" t="inlineStr">
        <is>
          <t xml:space="preserve"/>
        </is>
      </c>
      <c r="I60" s="2">
        <f>SUM(M60:X60)</f>
        <v>0</v>
      </c>
      <c r="J60" t="inlineStr">
        <is>
          <t xml:space="preserve"/>
        </is>
      </c>
      <c r="K60" s="2">
        <f>I60</f>
        <v>0</v>
      </c>
      <c r="L60" t="inlineStr">
        <is>
          <t xml:space="preserve"/>
        </is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</row>
    <row r="61"/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sheetData>
    <row r="1">
      <c r="A1" t="inlineStr">
        <is>
          <t xml:space="preserve">Служебные данные приложения</t>
        </is>
      </c>
    </row>
    <row r="2">
      <c r="A2" t="inlineStr">
        <is>
          <t xml:space="preserve">{"application":"financial-economic-model","fileType":"contractor","schemaVersion":2,"savedAt":"2026-09-25T12:30:35.697Z","contractor":{"id":"c_mugvjjiee42h","name":"Подрядчик 2 · расчётный сценарий"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окончания"]}},"personnel":{"enabled":true,"required":true,"path":"data/contractors/c_mugvjjiee42h/sources/personnel.xlsx","sheetAliases":["Персонал","График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персонала"]}},"equipment":{"enabled":true,"required":true,"path":"data/contractors/c_mugvjjiee42h/sources/equipment.xlsx","sheetAliases":["Техника","График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KQ"],"discipline":["Дисциплина"]}},"primary_documents":{"enabled":true,"required":true,"path":"data/contractors/c_mugvjjiee42h/sources/parameters.xlsx","sheetAliases":["Первичка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факт"]}},"payments":{"enabled":true,"required":true,"path":"data/contractors/c_mugvjjiee42h/sources/payments.xlsx","sheetAliases":["Платежи","Реестр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расхода"]}},"factoring":{"enabled":true,"required":false,"path":"data/contractors/c_mugvjjiee42h/sources/factoring.xlsx","sheetAliases":["Факторинг","Реестр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руб."]}}}},"contracts":[{"id":"d_mugvk5lsgiiq","number":"4700134228","name":"Расчётный договор 4700134228 · +5 месяцев, ставка и объём ×2","sourceIdentityConfirmed":true,"sourceProfiles":{"boq":{"enabled":true,"required":true,"currency":"USD","path":"data/contractors/derived-4700134228/sources/boq.xlsx","sheetAliases":["BOQ","Ведомость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KQ-2"]},"overrides":{"item_code":{"mode":"header","value":"Шифр ЕР"},"item_name":{"mode":"header","value":"Наименование ЕР"},"unit":{"mode":"header","value":"Ед. изм."},"contract_quantity":{"mode":"header","value":"Кол-во по BoQ"},"labor_hours_unit":{"mode":"header","value":"Трудозатраты за ед., чел.-час."},"labor_hours_total":{"mode":"header","value":"Трудозатраты всего, чел.-час"},"machine_hours_unit":{"mode":"header","value":"Машины и механизмы за ед., маш.-час."},"machine_hours_total":{"mode":"header","value":"Машины и механизмы всего, маш.-час"},"smr_unit_rate":{"mode":"header","value":"Един. расценка на СМР прямые затраты, USD"},"materials_unit_rate":{"mode":"header","value":"Един. расценка стоимости материалов и оборудования, USD"},"kq_code":{"mode":"header","value":"Код KQ-1"},"kq_name":{"mode":"header","value":"Наименование KQ-1"}},"sheet":"BOQ","startRow":0,"endRow":0},"ksg":{"enabled":true,"required":true,"path":"data/contractors/derived-4700134228/sources/ksg.xlsx","sheetAliases":["КСГ","Календарный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окончания"]},"overrides":{"kq_code":{"mode":"header","value":"Ключевые работы"},"work_name":{"mode":"header","value":"Название работы"},"work_id":{"mode":"header","value":"Идентификатор работы"},"smr_rate":{"mode":"header","value":"Расценка СМР"},"materials_rate":{"mode":"header","value":"Расценка МТР"},"contract_quantity":{"mode":"header","value":"Контрактные объемы"},"planned_quantity":{"mode":"header","value":"Кол-во по завершении"},"actual_quantity":{"mode":"header","value":"Фактическое количество"},"remaining_quantity":{"mode":"header","value":"Оставшееся количество"},"start_date":{"mode":"header","value":"Начало"},"finish_date":{"mode":"header","value":"Окончание"}},"sheet":"КСГ","startRow":0,"endRow":0},"personnel":{"enabled":true,"required":true,"path":"data/contractors/derived-4700134228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kq_code":{"mode":"header","value":"KQ"},"discipline":{"mode":"header","value":"Дисциплина"},"work_name":{"mode":"header","value":"Наименование работ"},"personnel_type":{"mode":"header","value":"Персонал"}},"sheet":"Персонал","startRow":0,"endRow":0},"equipment":{"enabled":true,"required":true,"path":"data/contractors/derived-4700134228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,"overrides":{"source_key":{"mode":"header","value":"Ключ"},"contractor":{"mode":"header","value":"Подрядчик"},"facility":{"mode":"header","value":"Установка"},"title":{"mode":"header","value":"Титул"},"category":{"mode":"header","value":"Категория"},"equipment_type":{"mode":"header","value":"Тип техники"},"equipment_name":{"mode":"header","value":"Техника"},"work_name":{"mode":"header","value":"Наименование работ"},"kq_code":{"mode":"header","value":"KQ"},"discipline":{"mode":"header","value":"Дисциплина"}},"sheet":"Техника","startRow":0,"endRow":0},"primary_documents":{"enabled":true,"required":true,"path":"data/contractors/derived-4700134228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документы"],"headerRow":{"mode":"auto","fallback":1,"searchRows":20},"requiredFields":["contractor","contract_number","currency","document_number","document_date","amount_without_vat"],"fields":{"contractor":["Контрагент"],"contract_number":["Договор с КА"],"project":["Проект"],"currency":["Валюта"],"document_date":["Дата подписания КС"],"amount_without_vat":["Сумма без НДС"],"guarantee_without_vat":["сумма ГУ без НДС"],"advance_offset_without_vat":["Аванс зачет без НДС"],"penalty":["Штрафы / претензии без НДС - удержано"],"discount":["Дисконт после КС за досрочную оплату без НДС"],"otherDeduction":["Прочая ДЗ к удержанию без НДС"]},"overrides":{"contractor":{"mode":"header","value":"Контрагент"},"contract_number":{"mode":"header","value":"Договор с КА"},"project":{"mode":"header","value":"Проект"},"currency":{"mode":"header","value":"Валюта"},"document_date":{"mode":"header","value":"Дата подписания КС"},"amount_without_vat":{"mode":"header","value":"Сумма без НДС"},"guarantee_without_vat":{"mode":"header","value":"сумма ГУ без НДС"},"advance_offset_without_vat":{"mode":"header","value":"Аванс зачет без НДС"},"penalty":{"mode":"header","value":"Штрафы / претензии без НДС - удержано"},"discount":{"mode":"header","value":"Дисконт после КС за досрочную оплату без НДС"},"otherDeduction":{"mode":"header","value":"Прочая ДЗ к удержанию без НДС"}},"sheet":"Первичка в вал.контракта","startRow":0,"endRow":0},"payments":{"enabled":true,"required":true,"path":"data/contractors/derived-4700134228/sources/payments.xlsx","sheetAliases":["Платежи","Реестр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платежа"],"contractor":["Имя 1"],"contract_number":["Номер договора"],"project":["Зона -протянуть формулу"],"currency":["Валюта транзакции"],"amount_with_vat":["Финансирование, с НДС, Влт"],"amount_without_vat":["Финансирование, без НДС, Влт"],"payment_purpose":["Назначение платежа"],"payment_type":["Вид оплаты (аванс, оплата по факту)"]},"overrides":{"payment_date":{"mode":"header","value":"Дата платежа"},"contractor":{"mode":"header","value":"Имя 1"},"contract_number":{"mode":"header","value":"Номер договора"},"project":{"mode":"header","value":"Зона -протянуть формулу"},"currency":{"mode":"header","value":"Валюта транзакции"},"amount_with_vat":{"mode":"header","value":"Финансирование, с НДС, Влт"},"amount_without_vat":{"mode":"header","value":"Финансирование, без НДС, Влт"},"payment_purpose":{"mode":"header","value":"Назначение платежа"},"payment_type":{"mode":"header","value":"Вид оплаты (аванс, оплата по факту)"}},"sheet":"Платежи","startRow":0,"endRow":0},"factoring":{"enabled":true,"required":false,"path":"data/contractors/derived-4700134228/sources/factoring.xlsx","sheetAliases":["Факторинг","Реестр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],"project":["Проект"],"contract_number":["Договор"],"amount_without_vat_currency":["Сумма в евро / Доллар без НДС"],"payment_date":["Дата платежа"]},"overrides":{"contractor":{"mode":"header","value":"Контрагент"},"project":{"mode":"header","value":"Проект"},"contract_number":{"mode":"header","value":"Договор"},"amount_without_vat_currency":{"mode":"header","value":"Сумма в евро / Доллар без НДС"},"payment_date":{"mode":"header","value":"Дата платежа"}},"sheet":"Факторинг","startRow":0,"endRow":0}},"sources":{},"versions":[{"id":"v_mugvk5ls02v0","name":"Без исходных данных","created":"2026-09-25","year":2026,"currency":"USD","fxRate":80,"dataMode":"source_partial","parameters":{"payroll":{"value":3750,"method":"monthly","enabled":true,"lag":0,"cash":true,"vat":false,"rateCurrency":"USD","rateBasis":"","rateSource":""},"payrollTax":{"value":0,"method":"rate","enabled":false,"lag":0,"cash":true,"vat":false,"rateCurrency":"","rateBasis":"","rateSource":""},"insurance":{"value":0,"method":"rate","enabled":false,"lag":0,"cash":true,"vat":false,"rateCurrency":"","rateBasis":"","rateSource":""},"vacation":{"value":0,"method":"rate","enabled":false,"lag":0,"cash":false,"vat":false,"rateCurrency":"","rateBasis":"","rateSource":""},"subcontract":{"value":0,"method":"percentRevenue","enabled":false,"lag":0,"cash":true,"vat":true,"rateCurrency":"","rateBasis":"","rateSource":""},"equipment":{"value":0,"method":"unit","enabled":false,"lag":0,"cash":true,"vat":true,"rateCurrency":"","rateBasis":"","rateSource":""},"scaffolding":{"value":0,"method":"manual","enabled":false,"lag":0,"cash":true,"vat":true,"rateCurrency":"","rateBasis":"","rateSource":""},"scaffoldLabor":{"value":0,"method":"unit","enabled":false,"lag":0,"cash":true,"vat":true,"rateCurrency":"","rateBasis":"","rateSource":""},"projectMaterials":{"value":0,"method":"materials","enabled":false,"lag":0,"cash":true,"vat":true,"rateCurrency":"","rateBasis":"","rateSource":""},"consumables":{"value":0,"method":"percentPayroll","enabled":false,"lag":0,"cash":true,"vat":true,"rateCurrency":"","rateBasis":"","rateSource":""},"nrk":{"value":0,"method":"unit","enabled":false,"lag":0,"cash":true,"vat":true,"rateCurrency":"","rateBasis":"","rateSource":""},"otherDirect":{"value":0,"method":"manual","enabled":false,"lag":0,"cash":true,"vat":true,"rateCurrency":"","rateBasis":"","rateSource":""},"indirectPayroll":{"value":0,"method":"monthly","enabled":false,"lag":0,"cash":true,"vat":false,"rateCurrency":"","rateBasis":"","rateSource":""},"indirectTax":{"value":0,"method":"rate","enabled":false,"lag":0,"cash":true,"vat":false,"rateCurrency":"","rateBasis":"","rateSource":""},"indirectInsurance":{"value":0,"method":"rate","enabled":false,"lag":0,"cash":true,"vat":false,"rateCurrency":"","rateBasis":"","rateSource":""},"indirectVacation":{"value":0,"method":"rate","enabled":false,"lag":0,"cash":false,"vat":false,"rateCurrency":"","rateBasis":"","rateSource":""},"food":{"value":0,"method":"day","enabled":false,"lag":0,"cash":true,"vat":true,"rateCurrency":"","rateBasis":"","rateSource":""},"housing":{"value":0,"method":"day","enabled":false,"lag":0,"cash":true,"vat":true,"rateCurrency":"","rateBasis":"","rateSource":""},"bus":{"value":0,"method":"unit","enabled":false,"lag":0,"cash":true,"vat":true,"rateCurrency":"","rateBasis":"","rateSource":""},"car":{"value":0,"method":"unit","enabled":false,"lag":0,"cash":true,"vat":true,"rateCurrency":"","rateBasis":"","rateSource":""},"formwork":{"value":0,"method":"manual","enabled":false,"lag":0,"cash":true,"vat":true,"rateCurrency":"","rateBasis":"","rateSource":""},"ppe":{"value":0,"method":"annualPerPerson","enabled":false,"lag":0,"cash":true,"vat":true,"rateCurrency":"","rateBasis":"","rateSource":""},"tickets":{"value":0,"method":"rotation","enabled":false,"lag":0,"cash":true,"vat":true,"rateCurrency":"","rateBasis":"","rateSource":""},"permit":{"value":0,"method":"perPerson","enabled":false,"lag":0,"cash":true,"vat":true,"rateCurrency":"","rateBasis":"","rateSource":""},"medical":{"value":0,"method":"perPerson","enabled":false,"lag":0,"cash":true,"vat":true,"rateCurrency":"","rateBasis":"","rateSource":""},"vziz":{"value":0,"method":"annualPerPerson","enabled":false,"lag":0,"cash":true,"vat":true,"rateCurrency":"","rateBasis":"","rateSource":""},"office":{"value":0,"method":"monthly","enabled":false,"lag":0,"cash":true,"vat":true,"rateCurrency":"","rateBasis":"","rateSource":""},"warehouse":{"value":0,"method":"monthly","enabled":false,"lag":0,"cash":true,"vat":true,"rateCurrency":"","rateBasis":"","rateSource":""},"internet":{"value":0,"method":"monthly","enabled":false,"lag":0,"cash":true,"vat":true,"rateCurrency":"","rateBasis":"","rateSource":""},"waste":{"value":0,"method":"monthly","enabled":false,"lag":0,"cash":true,"vat":true,"rateCurrency":"","rateBasis":"","rateSource":""},"safety":{"value":0,"method":"percentPayroll","enabled":false,"lag":0,"cash":true,"vat":true,"rateCurrency":"","rateBasis":"","rateSource":""},"accident":{"value":0,"method":"annualPerPerson","enabled":false,"lag":0,"cash":true,"vat":true,"rateCurrency":"","rateBasis":"","rateSource":""},"it":{"value":0,"method":"manual","enabled":false,"lag":0,"cash":true,"vat":true,"rateCurrency":"","rateBasis":"","rateSource":""},"containers":{"value":0,"method":"manual","enabled":false,"lag":0,"cash":true,"vat":true,"rateCurrency":"","rateBasis":"","rateSource":""},"modularOffice":{"value":0,"method":"manual","enabled":false,"lag":0,"cash":true,"vat":true,"rateCurrency":"","rateBasis":"","rateSource":""},"transport":{"value":0,"method":"manual","enabled":false,"lag":0,"cash":true,"vat":true,"rateCurrency":"","rateBasis":"","rateSource":""},"otherIndirect":{"value":0,"method":"percentDirect","enabled":false,"lag":0,"cash":true,"vat":true,"rateCurrency":"","rateBasis":"","rateSource":""}},"drivers":{"physicalVolume":[8880.160000000002,7032.24,10582.28,9278.360000000002,4727.799999999999,6371.719999999999,2176.54,7165.499999999999,6542.160000000001,19045.679999999997,59445.10000000001,59872.15999999999],"boqRate":[0,0,0,0,0,0,0,0,0,0,0,0],"revenue":[0,0,0,0,0,0,0,0,0,0,0,0],"otherRevenue":[0,0,0,0,0,0,0,0,0,0,0,0],"materials":[0,0,0,0,0,0,0,0,0,0,0,0],"directPeople":[0,0,0,0,0,0,0,0,0,0,0,0],"auxiliaryPeople":[0,0,0,0,0,0,0,0,0,0,0,0],"indirectPeople":[0,0,0,0,0,0,0,0,0,0,0,0],"laborIntensity":[0,0,0,0,0,0,0,0,0,0,0,0],"sourceDays":[0,0,0,0,0,0,0,0,0,0,0,0],"passivePeople":[0,0,0,0,0,0,0,0,0,0,0,0],"scaffoldPeople":[0,0,0,0,0,0,0,0,0,0,0,0],"equipmentHours":[0,0,0,0,0,0,0,0,0,0,0,0],"nrkVolume":[0,0,0,0,0,0,0,0,0,0,0,0],"payments":[0,0,0,0,0,0,0,0,0,0,0,0],"advances":[0,0,0,0,0,0,0,0,0,0,0,0],"advanceOffset":[0,0,0,0,0,0,0,0,0,0,0,0],"factoring":[0,0,0,0,0,0,0,0,0,0,0,0],"ksgRevenue":[6009188.245655865,6326310.065261915,7192962.040909068,7719049.553621543,5505821.553424569,9987823.64153884,6691447.283210083,5821714.1066337265,7166557.134399284,10354368.854407901,15683364.331498714,14091759.611429863],"ksgMaterialsRevenue":[2153783.374,1539868.2479999997,1581686.1979999999,1159164.011,604570.4280000001,765789.0929999999,395388.4235,326947.8805,475291.4724999999,749195.7699999999,1230678.6764999996,718619.413],"ks2Accepted":[831903.5372417906,5500703.147450478,6294597.88330131,7106296.843344353,7666440.802350296,5727144.353444267,9539623.432727411,7021084.919042958,5908687.424291363,7032072.831622728,10035587.68240704,15150464.783789633],"primaryExecuted":[0,0,0,0,0,0,0,0,0,0,0,0],"primaryDeductions":[0,0,0,0,0,0,0,0,0,0,0,0],"primaryAdvanceOffset":[0,0,0,0,0,0,0,0,0,0,0,0],"primaryGuaranteeHold":[0,0,0,0,0,0,0,0,0,0,0,0],"paymentVat":[0,0,0,0,0,0,0,0,0,0,0,0],"advanceVat":[0,0,0,0,0,0,0,0,0,0,0,0]},"workItems":[{"sourceKind":"ksg","sourceRow":5,"sourceKey":"auto-354faac6","workId":"","name":"Демонтаж дорог, площадок и тротуаров","unit":"м3","kq1":"","kq2":"KQ-01-01","stableKey":"auto-c2627ef2","plannedQuantity":4512.92,"scheduleQuantity":3792.62,"volumes":[321.64,58.48,104.7,190.04,66.56,40.02,13.48,286.06,892.3,549.8,1198.24,71.3],"matchRule":"exact","matchConfidence":1,"contractRate":360.398813535099,"currentRate":0,"actualRate":0,"rate":360.398813535099},{"sourceKind":"ksg","sourceRow":8,"sourceKey":"auto-d3ba77bf","workId":"","name":"Демонтаж элементов металлоконструкций","unit":"т","kq1":"","kq2":"KQ-03-01","stableKey":"auto-18aa5086","plannedQuantity":41.5,"scheduleQuantity":3.2,"volumes":[0,0,0,0,0,0.28,0,0,0.32,0,0,2.6],"matchRule":"exact","matchConfidence":1,"contractRate":4959.555693795231,"currentRate":0,"actualRate":0,"rate":4959.555693795231},{"sourceKind":"ksg","sourceRow":10,"sourceKey":"auto-1e17fbd2","workId":"","name":"Демонтаж кровельных покрытий","unit":"м2","kq1":"","kq2":"KQ-111-11","stableKey":"auto-736d9865","plannedQuantity":12891.5,"scheduleQuantity":73.64,"volumes":[0,0,0,73.64,0,0,0,0,0,0,0,0],"matchRule":"exact","matchConfidence":1,"contractRate":214.7967168924523,"currentRate":0,"actualRate":0,"rate":214.7967168924523},{"sourceKind":"ksg","sourceRow":12,"sourceKey":"auto-50b56ba7","workId":"","name":"Демонтаж легковозводимых перегородок","unit":"м2","kq1":"","kq2":"KQ-111-11","stableKey":"auto-d17fa40d","plannedQuantity":1549,"scheduleQuantity":1549,"volumes":[0,0,0,0,0,0,0,0,0,1549,0,0],"matchRule":"exact","matchConfidence":1,"contractRate":214.7967168924523,"currentRate":0,"actualRate":0,"rate":214.7967168924523},{"sourceKind":"ksg","sourceRow":13,"sourceKey":"auto-d98dc6be","workId":"","name":"Демонтаж элементов заполнения проемов зданий и сооружений","unit":"м2","kq1":"","kq2":"KQ-111-11","stableKey":"auto-9b742e9b","plannedQuantity":27.54,"scheduleQuantity":27.54,"volumes":[0,0,0,8.64,0,0,0,0,0,18.9,0,0],"matchRule":"exact","matchConfidence":1,"contractRate":214.7967168924523,"currentRate":0,"actualRate":0,"rate":214.7967168924523},{"sourceKind":"ksg","sourceRow":14,"sourceKey":"auto-eb2d111d","workId":"","name":"Демонтаж черновой отделки","unit":"м2","kq1":"","kq2":"KQ-03-08","stableKey":"auto-8868b569","plannedQuantity":1008.9,"scheduleQuantity":1008.9,"volumes":[0,0,0,0,0,0,0,0,0,1006.56,2.34,0],"matchRule":"exact","matchConfidence":1,"contractRate":123.9962934310013,"currentRate":0,"actualRate":0,"rate":123.9962934310013},{"sourceKind":"ksg","sourceRow":16,"sourceKey":"auto-b1e30d56","workId":"","name":"Демонтаж инженерного и технологического оборудования","unit":"т","kq1":"","kq2":"KQ-03-10","stableKey":"auto-55c90949","plannedQuantity":143.2,"scheduleQuantity":0.6,"volumes":[0,0,0,0,0,0,0,0,0,0,0,0.6],"matchRule":"exact","matchConfidence":1,"contractRate":14411.402896313515,"currentRate":0,"actualRate":0,"rate":14411.402896313515},{"sourceKind":"ksg","sourceRow":17,"sourceKey":"auto-362f0704","workId":"","name":"Демонтаж инженерных и технологических трубопроводов","unit":"м","kq1":"","kq2":"KQ-03-13","stableKey":"auto-cc0b3eae","plannedQuantity":6980.06,"scheduleQuantity":10,"volumes":[0,0,8.34,1.66,0,0,0,0,0,0,0,0],"matchRule":"exact","matchConfidence":1,"contractRate":141.14832227563883,"currentRate":0,"actualRate":0,"rate":141.14832227563883},{"sourceKind":"ksg","sourceRow":18,"sourceKey":"auto-fb844880","workId":"","name":"Демонтаж ЗРА и встраиваемых линейных элементов","unit":"шт.","kq1":"","kq2":"KQ-03-14","stableKey":"auto-f276eeb9","plannedQuantity":608,"scheduleQuantity":2,"volumes":[0,0,0,0,0,0,0,0,0,0,0,2],"matchRule":"exact","matchConfidence":1,"contractRate":120.35523838936848,"currentRate":0,"actualRate":0,"rate":120.35523838936848},{"sourceKind":"ksg","sourceRow":19,"sourceKey":"auto-25098f7e","workId":"","name":"Демонтаж отопительных приборов","unit":"шт.","kq1":"","kq2":"KQ-03-16","stableKey":"auto-0cb17892","plannedQuantity":8,"scheduleQuantity":4,"volumes":[0,0,3.34,0.66,0,0,0,0,0,0,0,0],"matchRule":"exact","matchConfidence":1,"contractRate":224.7485771415027,"currentRate":0,"actualRate":0,"rate":224.7485771415027},{"sourceKind":"ksg","sourceRow":20,"sourceKey":"auto-423c47b3","workId":"","name":"Демонтаж воздуховодов","unit":"м2","kq1":"","kq2":"KQ-03-17","stableKey":"auto-89985a66","plannedQuantity":4826,"scheduleQuantity":267.08,"volumes":[0,0,6.66,1.34,0,0,0,0,0,0,0,259.08],"matchRule":"exact","matchConfidence":1,"contractRate":23.30249216338736,"currentRate":0,"actualRate":0,"rate":23.30249216338736},{"sourceKind":"ksg","sourceRow":21,"sourceKey":"auto-f0e34c47","workId":"","name":"Демонтаж элементов воздухозабора и воздухораспредения","unit":"шт.","kq1":"","kq2":"KQ-03-18","stableKey":"auto-e1428e17","plannedQuantity":466,"scheduleQuantity":14,"volumes":[0,0,8.34,1.66,0,0,0,0,0,0,0,4],"matchRule":"exact","matchConfidence":1,"contractRate":210.81250630027313,"currentRate":0,"actualRate":0,"rate":210.81250630027313},{"sourceKind":"ksg","sourceRow":23,"sourceKey":"auto-1a39258f","workId":"","name":"Демонтаж кабелей и проводов","unit":"м","kq1":"","kq2":"KQ-03-25","stableKey":"auto-5c698f34","plannedQuantity":88228,"scheduleQuantity":9780.48,"volumes":[0,0,150,30,0,0,0,0,0,0,0,9600.48],"matchRule":"exact","matchConfidence":1,"contractRate":13.44387804297205,"currentRate":0,"actualRate":0,"rate":13.44387804297205},{"sourceKind":"ksg","sourceRow":24,"sourceKey":"auto-c1b21b42","workId":"","name":"Демонтаж электроустановочных изделий и компонентов КИПиА и слаботочных систем","unit":"шт.","kq1":"","kq2":"KQ-03-26","stableKey":"auto-eded81fa","plannedQuantity":88,"scheduleQuantity":10,"volumes":[0,0,8.34,1.66,0,0,0,0,0,0,0,0],"matchRule":"exact","matchConfidence":1,"contractRate":216.78976297059668,"currentRate":0,"actualRate":0,"rate":216.78976297059668},{"sourceKind":"ksg","sourceRow":25,"sourceKey":"auto-6f5b857a","workId":"","name":"Демонтаж изоляции","unit":"м2","kq1":"","kq2":"KQ-03-27","stableKey":"auto-443435c5","plannedQuantity":148.62,"scheduleQuantity":0.62,"volumes":[0,0,0.52,0.1,0,0,0,0,0,0,0,0],"matchRule":"exact","matchConfidence":1,"contractRate":127.2194575</t>
        </is>
      </c>
    </row>
    <row r="3">
      <c r="A3" t="inlineStr">
        <is>
          <t xml:space="preserve">5435625,"currentRate":0,"actualRate":0,"rate":127.21945755435625},{"sourceKind":"ksg","sourceRow":26,"sourceKey":"auto-cdb6cb8d","workId":"","name":"Расчистка и планировка площадки строительства","unit":"м2","kq1":"","kq2":"KQ-05-01","stableKey":"auto-342c9105","plannedQuantity":6892,"scheduleQuantity":6892,"volumes":[0,0,0,0,0,0,0,0,0,0,6892,0],"matchRule":"exact","matchConfidence":1,"contractRate":15.751339785853075,"currentRate":0,"actualRate":0,"rate":15.751339785853075},{"sourceKind":"ksg","sourceRow":28,"sourceKey":"auto-5c9fd88a","workId":"","name":"Разработка грунта с погрузкой","unit":"м3","kq1":"","kq2":"KQ-09-01","stableKey":"auto-5cca581c","plannedQuantity":22322.76,"scheduleQuantity":18768.460000000003,"volumes":[4881.74,4655.58,4220.68,1229.2,184.08,232.12,127.52,238.48,266.7,492.14,2240.22,0],"matchRule":"exact","matchConfidence":1,"contractRate":165.43106173163682,"currentRate":0,"actualRate":0,"rate":165.43106173163682},{"sourceKind":"ksg","sourceRow":29,"sourceKey":"auto-eb2f3763","workId":"","name":"Шпунтовое ограждение котлованов и траншей","unit":"т","kq1":"","kq2":"KQ-09-02","stableKey":"auto-79d57782","plannedQuantity":225.8,"scheduleQuantity":225.8,"volumes":[225.8,0,0,0,0,0,0,0,0,0,0,0],"matchRule":"exact","matchConfidence":1,"contractRate":2092.9053417709124,"currentRate":0,"actualRate":0,"rate":2092.9053417709124},{"sourceKind":"ksg","sourceRow":30,"sourceKey":"auto-711cd4a3","workId":"","name":"Обратная засыпка грунта с уплотнением","unit":"м3","kq1":"","kq2":"KQ-10-01","stableKey":"auto-e7274e25","plannedQuantity":18907.36,"scheduleQuantity":18073.14,"volumes":[1896.04,1229.8,5047.82,5258.98,992.74,234.26,54.02,369.14,241.28,668.64,2080.42,0],"matchRule":"exact","matchConfidence":1,"contractRate":137.08336598764066,"currentRate":0,"actualRate":0,"rate":137.08336598764066},{"sourceKind":"ksg","sourceRow":31,"sourceKey":"auto-261e11f2","workId":"","name":"Устройство подбетонки","unit":"м3","kq1":"","kq2":"KQ-12-01","stableKey":"auto-12587403","plannedQuantity":665.3,"scheduleQuantity":628.64,"volumes":[169.54,20.5,93.06,101.22,121.76,8.64,15.7,4.88,1.54,48.88,42.92,0],"matchRule":"exact","matchConfidence":1,"contractRate":667.3760717519363,"currentRate":0,"actualRate":0,"rate":667.3760717519363},{"sourceKind":"ksg","sourceRow":32,"sourceKey":"auto-c328a90f","workId":"","name":"Устройство монолитных конструкций ниже 0 (за исключением колодцев)","unit":"м3","kq1":"","kq2":"KQ-12-02","stableKey":"auto-53e20f97","plannedQuantity":3796.78,"scheduleQuantity":3623.9600000000005,"volumes":[1320.7,621.58,426.54,352.66,155.08,236.34,179.84,31.62,11.3,49.48,196.5,42.32],"matchRule":"exact","matchConfidence":1,"contractRate":2287.940073339134,"currentRate":0,"actualRate":0,"rate":2287.940073339134},{"sourceKind":"ksg","sourceRow":33,"sourceKey":"auto-31c62935","workId":"","name":"Утепление строительных конструкций ниже 0","unit":"м3","kq1":"","kq2":"KQ-12-03","stableKey":"auto-02074cc8","plannedQuantity":48.14,"scheduleQuantity":41.98,"volumes":[0,0,0,0,0,0,0,12.2,21.12,4.84,3.82,0],"matchRule":"exact","matchConfidence":1,"contractRate":964.6744417641229,"currentRate":0,"actualRate":0,"rate":964.6744417641229},{"sourceKind":"ksg","sourceRow":34,"sourceKey":"auto-0c3bce1f","workId":"","name":"Устройство монолитных конструкций выше 0","unit":"м3","kq1":"","kq2":"KQ-13-01","stableKey":"auto-e2614a75","plannedQuantity":2037.08,"scheduleQuantity":2017.4600000000003,"volumes":[64.7,446.3,491.18,298.14,30.62,399.16,4.76,0.16,188.64,74.54,17.26,2],"matchRule":"exact","matchConfidence":1,"contractRate":6508.426604401696,"currentRate":0,"actualRate":0,"rate":6508.426604401696},{"sourceKind":"ksg","sourceRow":36,"sourceKey":"auto-3a699703","workId":"","name":"Устройство безусадочной подливки","unit":"м3","kq1":"","kq2":"KQ-16-01","stableKey":"auto-f7db543f","plannedQuantity":259.16,"scheduleQuantity":153.34,"volumes":[0,0,0,0,0.36,0,0,20.82,38.9,24.98,33.66,34.62],"matchRule":"exact","matchConfidence":1,"contractRate":8909.408241974581,"currentRate":0,"actualRate":0,"rate":8909.408241974581},{"sourceKind":"ksg","sourceRow":37,"sourceKey":"auto-b63b73f2","workId":"","name":"Устройство монолитных колодцев","unit":"м3","kq1":"","kq2":"KQ-18-02","stableKey":"auto-a62a1299","plannedQuantity":8.74,"scheduleQuantity":8.32,"volumes":[0,0,0,0,0.6,0,0,1.44,1.9,0,4.38,0],"matchRule":"exact","matchConfidence":1,"contractRate":3672.093020927322,"currentRate":0,"actualRate":0,"rate":3672.093020927322},{"sourceKind":"ksg","sourceRow":40,"sourceKey":"auto-aadbfc22","workId":"","name":"Устройство открытого подземного перехода (футляра)","unit":"м","kq1":"","kq2":"KQ-20-02","stableKey":"auto-234979cf","plannedQuantity":10.2,"scheduleQuantity":10.2,"volumes":[0,0,0,0,0,0,0,0,0,10.2,0,0],"matchRule":"exact","matchConfidence":1,"contractRate":1366.5650051137702,"currentRate":0,"actualRate":0,"rate":1366.5650051137702},{"sourceKind":"ksg","sourceRow":41,"sourceKey":"auto-0bf6a858","workId":"","name":"Протаскивание труб в футляр","unit":"м","kq1":"","kq2":"KQ-20-03","stableKey":"auto-a278e614","plannedQuantity":10.2,"scheduleQuantity":10.2,"volumes":[0,0,0,0,0,0,0,0,0,10.2,0,0],"matchRule":"exact","matchConfidence":1,"contractRate":253.56588262631885,"currentRate":0,"actualRate":0,"rate":253.56588262631885},{"sourceKind":"ksg","sourceRow":42,"sourceKey":"auto-c7ed0d14","workId":"","name":"Монтаж основных металлоконструкций зданий","unit":"т","kq1":"","kq2":"KQ-22-01","stableKey":"auto-27d04a17","plannedQuantity":3.72,"scheduleQuantity":3.72,"volumes":[0,0,0,0,0,0,0,0,0,0,0,3.72],"matchRule":"exact","matchConfidence":1,"contractRate":5322.63230331369,"currentRate":0,"actualRate":0,"rate":5322.63230331369},{"sourceKind":"ksg","sourceRow":43,"sourceKey":"auto-e77919d4","workId":"","name":"Монтаж основных металлоконструкций этажерок и структур","unit":"т","kq1":"","kq2":"KQ-22-02","stableKey":"auto-6c8b96f6","plannedQuantity":1757.16,"scheduleQuantity":1505.3,"volumes":[0,0,10.62,115.54,115.04,290.64,272,157.8,121.32,121.06,191.52,109.76],"matchRule":"exact","matchConfidence":1,"contractRate":5954.9924785855455,"currentRate":0,"actualRate":0,"rate":5954.9924785855455},{"sourceKind":"ksg","sourceRow":44,"sourceKey":"auto-3de79f0f","workId":"","name":"Монтаж основных металлоконструкций эстакад","unit":"т","kq1":"","kq2":"KQ-22-03","stableKey":"auto-718e5d8c","plannedQuantity":79.16,"scheduleQuantity":71.6,"volumes":[0,0,0,0,0,0,0,69.22,2.38,0,0,0],"matchRule":"exact","matchConfidence":1,"contractRate":7059.054751229442,"currentRate":0,"actualRate":0,"rate":7059.054751229442},{"sourceKind":"ksg","sourceRow":45,"sourceKey":"auto-6f174092","workId":"","name":"Монтаж второстепенных металлоконструкций","unit":"т","kq1":"","kq2":"KQ-23-01","stableKey":"auto-28b5b412","plannedQuantity":510.02,"scheduleQuantity":399.56,"volumes":[0,0,2.14,11.92,5.12,68.88,74.54,96.74,79.22,28.14,18.08,14.78],"matchRule":"exact","matchConfidence":1,"contractRate":12130.175427305585,"currentRate":0,"actualRate":0,"rate":12130.175427305585},{"sourceKind":"ksg","sourceRow":47,"sourceKey":"auto-8b6d1f60","workId":"","name":"Монтаж решетчатого настила","unit":"м2","kq1":"","kq2":"KQ-24-01","stableKey":"auto-8e2cdbdf","plannedQuantity":576.46,"scheduleQuantity":371.5,"volumes":[0,0,0,0,0,0,0,0,0,0,364.78,6.72],"matchRule":"exact","matchConfidence":1,"contractRate":259.3611160029091,"currentRate":0,"actualRate":0,"rate":259.3611160029091},{"sourceKind":"ksg","sourceRow":48,"sourceKey":"auto-a61bc320","workId":"","name":"Монтаж стеновых сэндвич панелей","unit":"м2","kq1":"","kq2":"KQ-25-01","stableKey":"auto-06aa4a3e","plannedQuantity":5090.8,"scheduleQuantity":3935.86,"volumes":[0,0,0,0,0,0,0,0,0,3615.92,319.94,0],"matchRule":"exact","matchConfidence":1,"contractRate":636.1886010254491,"currentRate":0,"actualRate":0,"rate":636.1886010254491},{"sourceKind":"ksg","sourceRow":50,"sourceKey":"auto-eaf48c8d","workId":"","name":"HeavyLift блочных и комплектных установок","unit":"т","kq1":"","kq2":"KQ-26-01","stableKey":"auto-20de318e","plannedQuantity":221.8,"scheduleQuantity":221.8,"volumes":[0,0,0,221.8,0,0,0,0,0,0,0,0],"matchRule":"exact","matchConfidence":1,"contractRate":5398.751748663549,"currentRate":0,"actualRate":0,"rate":5398.751748663549},{"sourceKind":"ksg","sourceRow":51,"sourceKey":"auto-c59b8407","workId":"","name":"Монтаж статического колонного и емкостного оборудования","unit":"т","kq1":"","kq2":"KQ-27-02","stableKey":"auto-598d25d1","plannedQuantity":266.16,"scheduleQuantity":246.68,"volumes":[0,0,0,44.28,37.62,102.56,40.16,19.3,2.28,0.48,0,0],"matchRule":"exact","matchConfidence":1,"contractRate":2916.338281208439,"currentRate":0,"actualRate":0,"rate":2916.338281208439},{"sourceKind":"ksg","sourceRow":52,"sourceKey":"auto-a64573a2","workId":"","name":"Монтаж динамического колонного и емкостного оборудования","unit":"т","kq1":"","kq2":"KQ-27-03","stableKey":"auto-cf3b42c6","plannedQuantity":26.22,"scheduleQuantity":24.72,"volumes":[0,0,0,21.8,0,0,0,2.92,0,0,0,0],"matchRule":"exact","matchConfidence":1,"contractRate":1171.2817703858193,"currentRate":0,"actualRate":0,"rate":1171.2817703858193},{"sourceKind":"ksg","sourceRow":53,"sourceKey":"auto-14c90564","workId":"","name":"Монтаж теплообменников, холодильников и пароводяных подогревателей","unit":"т","kq1":"","kq2":"KQ-27-04","stableKey":"auto-689d51cd","plannedQuantity":95.48,"scheduleQuantity":95.47999999999999,"volumes":[0,0,0,0,0,39.96,27.36,6.58,19.62,1.96,0,0],"matchRule":"exact","matchConfidence":1,"contractRate":4905.320131165876,"currentRate":0,"actualRate":0,"rate":4905.320131165876},{"sourceKind":"ksg","sourceRow":54,"sourceKey":"auto-91a3a268","workId":"","name":"Монтаж блочных и комплектных установок","unit":"т","kq1":"","kq2":"KQ-27-05","stableKey":"auto-fec7646a","plannedQuantity":1199.8,"scheduleQuantity":880.72,"volumes":[0,0,0,0,0,66.42,198.12,32.02,310.54,10.78,105.5,157.34],"matchRule":"exact","matchConfidence":1,"contractRate":7299.9714780561835,"currentRate":0,"actualRate":0,"rate":7299.9714780561835},{"sourceKind":"ksg","sourceRow":57,"sourceKey":"auto-01aa5cee","workId":"","name":"Монтаж насосов","unit":"т","kq1":"","kq2":"KQ-27-13","stableKey":"auto-69e24529","plannedQuantity":102.02,"scheduleQuantity":94.88,"volumes":[0,0,0,0,0,22.8,0,10.18,0,3.8,11.68,46.42],"matchRule":"exact","matchConfidence":1,"contractRate":9798.447916736199,"currentRate":0,"actualRate":0,"rate":9798.447916736199},{"sourceKind":"ksg","sourceRow":58,"sourceKey":"auto-63322ab7","workId":"","name":"Монтаж механических фильтров и циклонов","unit":"т","kq1":"","kq2":"KQ-27-14","stableKey":"auto-8c113199","plannedQuantity":29.98,"scheduleQuantity":29.98,"volumes":[0,0,0,5.68,0,2.28,20.68,1.34,0,0,0,0],"matchRule":"exact","matchConfidence":1,"contractRate":5435.823517622587,"currentRate":0,"actualRate":0,"rate":5435.823517622587},{"sourceKind":"ksg","sourceRow":59,"sourceKey":"auto-a6452dfd","workId":"","name":"Монтаж ВКУ технологического оборудования","unit":"т","kq1":"","kq2":"KQ-27-19","stableKey":"auto-ad0edfca","plannedQuantity":6.84,"scheduleQuantity":3.64,"volumes":[0,0,0,0,0,0,0,0,0,3.64,0,0],"matchRule":"exact","matchConfidence":1,"contractRate":29864.946689120345,"currentRate":0,"actualRate":0,"rate":29864.946689120345},{"sourceKind":"ksg","sourceRow":62,"sourceKey":"auto-cf93248b","workId":"","name":"Сварка технологических трубопроводов (черн. стали)","unit":"DI","kq1":"","kq2":"KQ-32-01","stableKey":"auto-c10d2dae","plannedQuantity":67996.62,"scheduleQuantity":7437.24,"volumes":[0,0,0,0,0,0,0,0,123.02,631.62,1204.94,5477.66],"matchRule":"exact","matchConfidence":1,"contractRate":316.47347638580953,"currentRate":0,"actualRate":0,"rate":316.47347638580953},{"sourceKind":"ksg","sourceRow":63,"sourceKey":"auto-da20e48a","workId":"","name":"Монтаж технологических трубопроводов обвязки этажерок и структур (стальные)","unit":"м","kq1":"","kq2":"KQ-33-01","stableKey":"auto-a0558f66","plannedQuantity":65990.8,"scheduleQuantity":8861.88,"volumes":[0,0,0,0,0,0,0,0,0,943.04,3910.86,4007.98],"matchRule":"exact","matchConfidence":1,"contractRate":723.0802245228149,"currentRate":0,"actualRate":0,"rate":723.0802245228149},{"sourceKind":"ksg","sourceRow":64,"sourceKey":"auto-94948d9f","workId":"","name":"Монтаж опор технологических трубопроводов","unit":"т","kq1":"","kq2":"KQ-33-06","stableKey":"auto-bb932eb4","plannedQuantity":115.66,"scheduleQuantity":0.14,"volumes":[0,0,0,0,0,0,0,0,0,0.14,0,0],"matchRule":"exact","matchConfidence":1,"contractRate":40681.88253197282,"currentRate":0,"actualRate":0,"rate":40681.88253197282},{"sourceKind":"ksg","sourceRow":71,"sourceKey":"auto-fae08ea1","workId":"","name":"Монтаж стальных трубопроводов теплых полов технологических зон","unit":"м","kq1":"","kq2":"KQ-34-03","stableKey":"auto-98d8e61d","plannedQuantity":10318.4,"scheduleQuantity":8149.96,"volumes":[0,0,0,0,0,0,0,3516.48,2585.4,1344,704.08,0],"matchRule":"exact","matchConfidence":1,"contractRate":217.83150074132828,"currentRate":0,"actualRate":0,"rate":217.83150074132828},{"sourceKind":"ksg","sourceRow":72,"sourceKey":"auto-2e4f2433","workId":"","name":"Неразрушающий контроль стыков (РК)","unit":"стык","kq1":"","kq2":"KQ-35-01","stableKey":"auto-cb8b6838","plannedQuantity":111243.4,"scheduleQuantity":13677.32,"volumes":[0,0,0,0,0,0,0,0,0,0,8753.98,4923.34],"matchRule":"exact","matchConfidence":1,"contractRate":187.31322759344675,"currentRate":0,"actualRate":0,"rate":187.31322759344675},{"sourceKind":"ksg","sourceRow":75,"sourceKey":"auto-d3f7d420","workId":"","name":"ОГЗ металлоконструкций (окрасочная)","unit":"м2","kq1":"","kq2":"KQ-37-02","stableKey":"auto-c2d1f0b8","plannedQuantity":10379.88,"scheduleQuantity":9329.9,"volumes":[0,0,0,1099.96,3000.24,4601.38,628.32,0,0,0,0,0],"matchRule":"exact","matchConfidence":1,"contractRate":836.4704645800064,"currentRate":0,"actualRate":0,"rate":836.4704645800064},{"sourceKind":"ksg","sourceRow":76,"sourceKey":"auto-fde84ba4","workId":"","name":"АКЗ трубопроводов","unit":"м2","kq1":"","kq2":"KQ-38-02","stableKey":"auto-e963e9db","plannedQuantity":20096.78,"scheduleQuantity":1708.56,"volumes":[0,0,0,0,0,0,0,623.36,767.28,317.92,0,0],"matchRule":"exact","matchConfidence":1,"contractRate":205.72212936717014,"currentRate":0,"actualRate":0,"rate":205.72212936717014},{"sourceKind":"ksg","sourceRow":77,"sourceKey":"auto-f0b0daec","workId":"","name":"АКЗ металлоконструкций","unit":"м2","kq1":"","kq2":"KQ-38-03","stableKey":"auto-a93205de","plannedQuantity":15100.54,"scheduleQuantity":1068.34,"volumes":[0,0,0,0,0,0,0,5.8,0,0,1062.54,0],"matchRule":"exact","matchConfidence":1,"contractRate":431.50828943570804,"currentRate":0,"actualRate":0,"rate":431.50828943570804},{"sourceKind":"ksg","sourceRow":88,"sourceKey":"auto-6fc8133d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28.1,"scheduleQuantity":3.78,"volumes":[0,0,0,0,0,0,0,0,0,0,0,3.78],"matchRule":"exact","matchConfidence":1,"contractRate":18536.399185027512,"currentRate":0,"actualRate":0,"rate":18536.399185027512},{"sourceKind":"ksg","sourceRow":89,"sourceKey":"auto-62e99016","workId":"","name":"Монтаж кабельных лотков","unit":"м","kq1":"","kq2":"KQ-45-01","stableKey":"auto-0d268162","plannedQuantity":60046.02,"scheduleQuantity":10551.32,"volumes":[0,0,0,0,0,0,0,0,0,2012.04,3117.82,5421.46],"matchRule":"exact","matchConfidence":1,"contractRate":170.30311518858326,"currentRate":0,"actualRate":0,"rate":170.30311518858326},{"sourceKind":"ksg","sourceRow":93,"sourceKey":"auto-c0af49fe","workId":"","name":"Монтаж металлорукавов","unit":"м","kq1":"","kq2":"KQ-46-02","stableKey":"auto-17426b35","plannedQuantity":33687.72,"scheduleQuantity":324.21999999999997,"volumes":[0,0,0,0,0,0,0,0,0,0,108.08,216.14],"matchRule":"exact","matchConfidence":1,"contractRate":30.660274124178198,"currentRate":0,"actualRate":0,"rate":30.660274124178198},{"sourceKind":"ksg","sourceRow":95,"sourceKey":"auto-6307265d","workId":"","name":"Монтаж кабеля КИПиА","unit":"м","kq1":"","kq2":"KQ-48-01","stableKey":"auto-4f691479","plannedQuantity":632758,"scheduleQuantity":14693.96,"volumes":[0,0,0,0,0,0,0,0,0,0,50,14643.96],"matchRule":"exact","matchConfidence":1,"contractRate":30.27664999051171,"currentRate":0,"actualRate":0,"rate":30.27664999051171},{"sourceKind":"ksg","sourceRow":98,"sourceKey":"auto-7093b9e4","workId":"","name":"Расключение кабеля КИПиА","unit":"шт. (конец кабеля)","kq1":"","kq2":"KQ-48-04","stableKey":"auto-1b7e2a92","plannedQuantity":18416,"scheduleQuantity":409.7,"volumes":[0,0,0,0,0,0,0,0,0,0,20,389.7],"matchRule":"exact","matchConfidence":1,"contractRate":283.470095667944,"currentRate":0,"actualRate":0,"rate":283.470095667944},{"sourceKind":"ksg","sourceRow":100,"sourceKey":"auto-d1fe45b2","workId":"","name":"Монтаж силового кабеля до 1 кВ","unit":"м","kq1":"","kq2":"KQ-49-01","stableKey":"auto-f9b1607d","plannedQuantity":195684.6,"scheduleQuantity":26674.199999999997,"volumes":[0,0,0,0,0,0,0,0,0,58.02,13954.22,12661.96],"matchRule":"exact","matchConfidence":1,"contractRate":27.767371100723437,"currentRate":0,"actualRate":0,"rate":27.767371100723437},{"sourceKind":"ksg","sourceRow":102,"sourceKey":"auto-622f5568","workId":"","name":"Расключение силового кабеля до 1 кВ","unit":"шт. (конец кабеля)","kq1":"","kq2":"KQ-49-04","stableKey":"auto-01e1e89c","plannedQuantity":18180,"scheduleQuantity":6.12,"volumes":[0,0,0,0,0,0,0,0,0,0,0,6.12],"matchRule":"exact","matchConfidence":1,"contractRate":123.43750676957525,"currentRate":0,"actualRate":0,"rate":123.43750676957525},{"sourceKind":"ksg","sourceRow":106,"sourceKey":"auto-22116b12","workId":"","name":"Монтаж проводника заземления (провод)","unit":"м","kq1":"","kq2":"KQ-51-01","stableKey":"auto-7b0989df","plannedQuantity":14835.7,"scheduleQuantity":204,"volumes":[0,0,0,0,0,0,0,0,0,0,89.94,114.06],"matchRule":"exact","matchConfidence":1,"contractRate":67.79404878786701,"currentRate":0,"actualRate":0,"rate":67.79404878786701},{"sourceKind":"ksg","sourceRow":107,"sourceKey":"auto-21f25120","workId":"","name":"Монтаж проводника заземления (полоса)","unit":"м","kq1":"","kq2":"KQ-51-02","stableKey":"auto-40ad0cba","plannedQuantity":6953.36,"scheduleQuantity":3374.94,"volumes":[0,0,0,200,0,0,424.02,1545.28,491.84,158,348.7,207.1],"matchRule":"exact","matchConfidence":1,"contractRate":24.233211730751655,"currentRate":0,"actualRate":0,"rate":24.233211730751655},{"sourceKind":"ksg","sourceRow":112,"sourceKey":"auto-0b42709c","workId":"","name":"Монтаж малых силовых шкафов","unit":"шт.","kq1":"","kq2":"KQ-57-01","stableKey":"auto-0b81602b","plannedQuantity":174,"scheduleQuantity":2,"volumes":[0,0,0,0,0,0,0,0,0,2,0,0],"matchRule":"exact","matchConfidence":1,"contractRate":338.3121241996865,"currentRate":0,"actualRate":0,"rate":338.3121241996865},{"sourceKind":"ksg","sourceRow":114,"sourceKey":"auto-12919134","workId":"","name":"Монтаж щитового оборудования РУ, ВРУ","unit":"шт.","kq1":"","kq2":"KQ-57-03","stableKey":"auto-3260498c","plannedQuantity":120,"scheduleQuantity":13.34,"volumes":[0,0,0,0,0,0,0,0,0,0,0,13.34],"matchRule":"exact","matchConfidence":1,"contractRate":3610.688456336083,"currentRate":0,"actualRate":0,"rate":3610.688456336083},{"sourceKind":"ksg","sourceRow":115,"sourceKey":"auto-11cbc547","workId":"","name":"Монтаж щитового оборудования КИПиА","unit":"шт.","kq1":"","kq2":"KQ-58-01","stableKey":"auto-277dc6cc","plannedQuantity":232,"scheduleQuantity":22,"volumes":[0,0,0,0,0,0,0,0,0,0,0,22],"matchRule":"exact","matchConfidence":1,"contractRate":3198.7201830223016,"currentRate":0,"actualRate":0,"rate":3198.7201830223016},{"sourceKind":"ksg","sourceRow":118,"sourceKey":"auto-20c6d5c0","workId":"","name":"Монтаж оконечных и распределительных устройств слаботочных сетей","unit":"шт.","kq1":"","kq2":"KQ-59-02","stableKey":"auto-59e7d61e","plannedQuantity":1202,"scheduleQuantity":1.94,"volumes":[0,0,0,0,0,0,0,0,0,0,0,1.94],"matchRule":"exact","matchConfidence":1,"contractRate":126.98430955743038,"currentRate":0,"actualRate":0,"rate":126.98430955743038},{"sourceKind":"ksg","sourceRow":119,"sourceKey":"auto-b67c0b20","workId":"","name":"Монтаж приборов КИПиА","unit":"шт.","kq1":"","kq2":"KQ-60-01","stableKey":"auto-1a3aa973","plannedQuantity":2240,"scheduleQuantity":12,"volumes":[0,0,0,0,0,0,0,0,0,0,4,8],"matchRule":"exact","matchConfidence":1,"contractRate":678.8017962028557,"currentRate":0,"actualRate":0,"rate":678.8017962028557},{"sourceKind":"ksg","sourceRow":127,"sourceKey":"auto-2e4b4108","workId":"","name":"Монтаж воздуховодов","unit":"м2","kq1":"","kq2":"KQ-62-01","stableKey":"auto-fd0fd071","plannedQuantity":6386.64,"scheduleQuantity":68.08,"volumes":[0,0,0,0,0,0,0,0,0,0,0,68.08],"matchRule":"exact","matchConfidence":1,"contractRate":250.8522693300239,"currentRate":0,"actualRate":0,"rate":250.8522693300239},{"sourceKind":"ksg","sourceRow":128,"sourceKey":"auto-07b33e4e","workId":"","name":"Монтаж вентиляционных клапанов и заслонок","unit":"шт.","kq1":"","kq2":"KQ-62-02","stableKey":"auto-f7115d1e","plannedQuantity":390,"scheduleQuantity":2,"volumes":[0,0,0,0,0,0,0,0,0,0,0,2],"matchRule":"exact","matchConfidence":1,"contractRate":224.29123275843202,"currentRate":0,"actualRate":0,"rate":224.29123275843202},{"sourceKind":"ksg","sourceRow":134,"sourceKey":"auto-6e880ffc","workId":"","name":"Монтаж пластиковых трубопроводов внутренних инженерных сетей","unit":"м","kq1":"","kq2":"KQ-64-01","stableKey":"auto-1ebc70e3","plannedQuantity":242.18,"scheduleQuantity":84,"volumes":[0,0,0,0,0,0,0,0,0,84,0,0],"matchRule":"exact","matchConfidence":1,"contractRate":241.86521076828024,"currentRate":0,"actualRate":0,"rate":241.86521076828024},{"sourceKind":"ksg","sourceRow":155,"sourceKey":"auto-37e66121","workId":"","name":"Кладка стен и перегородок","unit":"м3","kq1":"","kq2":"KQ-69-01","stableKey":"auto-929bba11","plannedQuantity":451.08,"scheduleQuantity":451.06,"volumes":[0,0,0,0,17.98,25.98,96.02,113.32,174.84,7.32,3.54,12.06],"matchRule":"exact","matchConfidence":1,"contractRate":1187.8688605859122,"currentRate":0,"actualRate":0,"rate":1187.8688605859122},{"sourceKind":"ksg","sourceRow":156,"sourceKey":"auto-4ebac79f","workId":"","name":"Отделка стен","unit":"м2","kq1":"","kq2":"KQ-69-02","stableKey":"auto-d42fdda0","plannedQuantity":3653,"scheduleQuantity":333.98,"volumes":[0,0,0,0,0,0,0,0,0,0,0,333.98],"matchRule":"exact","matchConfidence":1,"contractRate":276.1001359976449,"currentRate":0,"actualRate":0,"rate":276.1001359976449},{"sourceKind":"ksg","sourceRow":157,"sourceKey":"auto-b484d088","workId":"","name":"Устройство полов","unit":"м2","kq1":"","kq2":"KQ-69-03","stableKey":"auto-1880c90c","plannedQuantity":5213.94,"scheduleQuantity":3653.68,"volumes":[0,0,0,7.78,0,0,0,0,200.42,1852.96,1057.46,535.06],"matchRule":"exact","matchConfidence":1,"contractRate":1826.46258370269,"currentRate":0,"actualRate":0,"rate":1826.46258370269},{"sourceKind":"ksg","sourceRow":162,"sourceKey":"auto-afc1b623","workId":"","name":"Укладка геоматериалов","unit":"м2","kq1":"","kq2":"KQ-71-01","stableKey":"auto-42cb0c23","plannedQuantity":11122.2,"scheduleQuantity":10997.720000000001,"volumes":[0,0,0,0,0,0,0,0,0,2584.1,8413.62,0],"matchRule":"exact","matchConfidence":1,"contractRate":19.30843262215975,"currentRate":0,"actualRate":0,"rate":19.30843262215975},{"sourceKind":"ksg","sourceRow":163,"sourceKey":"auto-da8b7338","workId":"","name":"Устройство щебеночных оснований и покрытий","unit":"м3","kq1":"","kq2":"KQ-71-02","stableKey":"auto-2af92db9","plannedQuantity":2349.92,"scheduleQuantity":2326.66,"volumes":[0,0,0,0,0,0,0,0.36,0,546.86,1779.44,0],"matchRule":"exact","matchConfidence":1,"contractRate":166.77422536084194,"currentRate":0,"actualRate":0,"rate":166.77422536084194},{"sourceKind":"ksg","sourceRow":164,"sourceKey":"auto-ba92fa9b","workId":"","name":"Устройство бетонных покрытий","unit":"м3","kq1":"","kq2":"KQ-71-03","stableKey":"auto-3d9d5109","plannedQuantity":2129.8,"scheduleQuantity":1793.04,"volumes":[0,0,0,0,0,0,0,0,0,209.72,1138.62,444.7],"matchRule":"exact","matchConfidence":1,"contractRate":2709.3377930190486,"currentRate":0,"actualRate":0,"rate":2709.3377930190486}],"sourceFile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workSourceMeta":{"blockers":["Подключите BOQ, КСГ и документы договора; расчёт недоступен до проверки источников."],"loading":false,"error":null,"currency":"USD","sourceContractNumber":"4700134228","primarySourceContract":"4700134228","bankSourceContract":"4700134228","primaryRows":0,"primaryPaymentMatches":0,"bankRows":0,"factoringRows":0,"sourcePaths":{"boq":"data/contractors/derived-4700134228/sources/boq.xlsx","ksg":"data/contractors/derived-4700134228/sources/ksg.xlsx","personnel":"data/contractors/derived-4700134228/sources/personnel.xlsx","equipment":"data/contractors/derived-4700134228/sources/equipment.xlsx","primary_documents":"data/contractors/derived-4700134228/sources/primary_documents.xlsx","payments":"data/contractors/derived-4700134228/sources/payments.xlsx","factoring":"data/contractors/derived-4700134228/sources/factoring.xlsx"},"resourceSources":{},"receiptSource":"Платежи H (без НДС) + Факторинг R (без НДС), Авансы H, зачёты Первичка AD","boqFile":"data/contractors/derived-4700134228/sources/boq.xlsx","ksgFile":"data/contractors/derived-4700134228/sources/ksg.xlsx","boqRows":888,"kq2Rows":146,"ksgRows":72,"matchedRows":72,"unmatchedRows":0,"ignoredRows":10,"boqCost":255840353.09750876,"scheduledCost":96377429.63794604,"contractQuantity":1333633.7165260015,"scheduledQuantity":201119.70000000004,"loadedAt":"2026-09-25T12:19:00.155Z"},"portfolioYearMissing":false,"vatRate":22,"vacationBasis":"annual","actualThroughMonth":0,"bindings":{"boq":{"target":"driver:physicalVolume","mode":"cells","cells":"","date":"","value":"","scale":1,"filterCol":"","filterValue":"","scope":true},"ksg":{"target":"driver:physicalVolume","mode":"cells","cells":"","date":"","value":"","scale":1,"filterCol":"","filterValue":"","scope":true},"personnel":{"target":"driver:physicalVolume","mode":"cells","cells":"","date":"","value":"","scale":1,"filterCol":"","filterValue":"","scope":true},"equipment":{"target":"driver:physicalVolume","mode":"cells","cells":"","date":"","value":"","scale":1,"filterCol":"","filterValue":"","scope":true},"primary_documents":{"target":"driver:physicalVolume","mode":"cells","cells":"","date":"","value":"","scale":1,"filterCol":"","filterValue":"","scope":true},"payments":{"target":"driver:physicalVolume","mode":"cells","cells":"","date":"","value":"","scale":1,"filterCol":"","filterValue":"","scope":true},"factoring":{"target":"driver:physicalVolume","mode":"cells","cells":"","date":"","value":"","scale":1,"filterCol":"","filterValue":"","scope":true}},"costSourceBasis":{},"materialKinds":{},"manualCosts":{},"manualPayments":{},"sourceCurrency":"USD","expectNoActuals":true,"kqEstimate":[{"code":"KQ-32-01","name":"Сварка технологических трубопроводов (черн. стали), DI","unit":"ед.","quantity":144402.65399999992,"laborHours":482087.6463381562,"machineHours":59664.31776290354,"cost":45699609.9107172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316.47347638580953,"scheduledQuantity":7437.24,"scheduledCost":2353689.197515598,"quantityVariance":-136965.41399999993,"scheduleRows":1},{"code":"KQ-33-01","name":"Монтаж технологических трубопроводов на эстакаде (стальные), м","unit":"ед.","quantity":54099.19200000029,"laborHours":400239.15997065156,"machineHours":54908.035655235,"cost":39118055.897863075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723.0802245228149,"scheduledQuantity":8861.88,"scheduledCost":6407850.180094242,"quantityVariance":-45237.31200000029,"scheduleRows":1},{"code":"KQ-13-01","name":"Устройство монолитных конструкций выше 0, м3","unit":"ед.","quantity":2618.9,"laborHours":224007.2929183797,"machineHours":15565.125889427727,"cost":17044918.434267603,"materialsCost":0,"materialsRows":22,"sourceRows":22,"sourceKeys":["auto-e2ea1e4d","auto-dfea1994","auto-e0ea1b27","aut</t>
        </is>
      </c>
    </row>
    <row r="4">
      <c r="A4" t="inlineStr">
        <is>
          <t xml:space="preserve">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6508.426604401696,"scheduledQuantity":2017.4600000000003,"scheduledCost":13130490.337316247,"quantityVariance":-601.4399999999998,"scheduleRows":1},{"code":"KQ-48-01","name":"Монтаж кабеля КИПиА, м","unit":"ед.","quantity":449848,"laborHours":198493.70572689566,"machineHours":19035.097904715203,"cost":13619890.444931712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30.27664999051171,"scheduledQuantity":14693.96,"scheduledCost":444883.8838945794,"quantityVariance":-435154.04,"scheduleRows":1},{"code":"KQ-45-01","name":"Монтаж кабельных лотков, м","unit":"ед.","quantity":58462.87199999999,"laborHours":159087.25492590867,"machineHours":6250.152890355096,"cost":9956409.224471398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170.30311518858326,"scheduledQuantity":10551.32,"scheduledCost":1796922.6653516022,"quantityVariance":-47911.55199999999,"scheduleRows":1},{"code":"KQ-23-02","name":"Монтаж металлоконструкций усиления, т","unit":"ед.","quantity":383.68,"laborHours":120081.43270752639,"machineHours":9366.836498719638,"cost":8503089.41918018,"materialsCost":0,"materialsRows":1,"sourceRows":1,"sourceKeys":["auto-179bf886"],"stableKey":"auto-093f384e","rate":22161.930304368696,"scheduledQuantity":0,"scheduledCost":0,"quantityVariance":-383.68,"scheduleRows":0},{"code":"KQ-12-02","name":"Устройство монолитных конструкций ниже 0 (за исключением колодцев), м3","unit":"ед.","quantity":3556.9400000000005,"laborHours":91442.94496422901,"machineHours":16450.11845030557,"cost":8138065.564462901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2287.940073339134,"scheduledQuantity":3623.9600000000005,"scheduledCost":8291403.308178089,"quantityVariance":67.01999999999998,"scheduleRows":1},{"code":"KQ-48-04","name":"Расключение кабеля КИПиА, шт. (конец кабеля)","unit":"ед.","quantity":24740,"laborHours":116878.32139475917,"machineHours":3727.1315027104342,"cost":7013050.166824934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283.470095667944,"scheduledQuantity":409.7,"scheduledCost":116137.69819515666,"quantityVariance":-24330.3,"scheduleRows":1},{"code":"KQ-33-07","name":"Монтаж арматуры технологических трубопроводов, шт.","unit":"ед.","quantity":8144,"laborHours":58183.42494472238,"machineHours":12710.127840177589,"cost":6370784.264247858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782.267223016682,"scheduledQuantity":0,"scheduledCost":0,"quantityVariance":-8144,"scheduleRows":0},{"code":"KQ-22-02","name":"Монтаж основных металлоконструкций этажерок и структур, т","unit":"ед.","quantity":1069.5776460000002,"laborHours":59795.407209627956,"machineHours":14815.611872802976,"cost":6369326.837193234,"materialsCost":1390.3152920000005,"materialsRows":3,"sourceRows":3,"sourceKeys":["auto-d1cfe051","auto-0e2cab11","auto-0f397897"],"stableKey":"auto-09c60f9f","rate":5954.9924785855455,"scheduledQuantity":1505.3,"scheduledCost":8964050.178014822,"quantityVariance":435.72235399999977,"scheduleRows":1},{"code":"KQ-27-05","name":"Монтаж блочных и комплектных установок, т","unit":"ед.","quantity":672.16,"laborHours":31820.981203173462,"machineHours":7360.983768129044,"cost":4906748.828690244,"materialsCost":0,"materialsRows":5,"sourceRows":5,"sourceKeys":["auto-c703647e","auto-c8036611","auto-c5036158","auto-c60362eb","auto-d7669176"],"stableKey":"auto-ac586773","rate":7299.9714780561835,"scheduledQuantity":880.72,"scheduledCost":6429230.880153642,"quantityVariance":208.56000000000006,"scheduleRows":1},{"code":"KQ-22-03","name":"Монтаж основных металлоконструкций эстакад, т","unit":"ед.","quantity":636.74,"laborHours":42270.3811757845,"machineHours":10452.70333410333,"cost":4494782.522297835,"materialsCost":0,"materialsRows":2,"sourceRows":2,"sourceKeys":["auto-d5ac7d3d","auto-c3aa2250"],"stableKey":"auto-08c60e0c","rate":7059.054751229442,"scheduledQuantity":71.6,"scheduledCost":505428.32018802804,"quantityVariance":-565.14,"scheduleRows":1},{"code":"KQ-49-01","name":"Монтаж силового кабеля до 1 кВ, м","unit":"ед.","quantity":155546.60000000003,"laborHours":61539.26604969505,"machineHours":6618.815508104845,"cost":4319120.165655789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27.767371100723437,"scheduledQuantity":26674.199999999997,"scheduledCost":740672.410214917,"quantityVariance":-128872.40000000004,"scheduleRows":1},{"code":"KQ-40-02","name":"Тепловая изоляция технологических трубопроводов, м2","unit":"ед.","quantity":12487.019999999997,"laborHours":81267.80685073567,"machineHours":1702.2180696315736,"cost":4030584.783062427,"materialsCost":0,"materialsRows":6,"sourceRows":6,"sourceKeys":["auto-303559de","auto-2f3796e2","auto-30379875","auto-eccfc3dd","auto-ebcfc24a","auto-6ad2c8ce"],"stableKey":"auto-8f6d3227","rate":322.7819594316681,"scheduledQuantity":0,"scheduledCost":0,"quantityVariance":-12487.019999999997,"scheduleRows":0},{"code":"KQ-23-01","name":"Монтаж второстепенных металлоконструкций, т","unit":"ед.","quantity":330.68,"laborHours":45968.7224452249,"machineHours":7186.204449851053,"cost":4011206.410301411,"materialsCost":0,"materialsRows":5,"sourceRows":5,"sourceKeys":["auto-8c89c28a","auto-8087710f","auto-9ae25f00","auto-14e9dad3","auto-13e9d940"],"stableKey":"auto-083f36bb","rate":12130.175427305585,"scheduledQuantity":399.56,"scheduledCost":4846732.8937342195,"quantityVariance":68.88,"scheduleRows":1},{"code":"KQ-38-03","name":"АКЗ металлоконструкций, м2","unit":"ед.","quantity":8863.16,"laborHours":68830.55015835894,"machineHours":1770.8629051305588,"cost":3824527.01059499,"materialsCost":0,"materialsRows":4,"sourceRows":4,"sourceKeys":["auto-6073e679","auto-0556b5cb","auto-8e5e493b","auto-8d5e47a8"],"stableKey":"auto-73d48649","rate":431.50828943570804,"scheduledQuantity":1068.34,"scheduledCost":460997.56593574426,"quantityVariance":-7794.82,"scheduleRows":1},{"code":"KQ-34-01","name":"Монтаж теплоспутников трубопроводов, м","unit":"ед.","quantity":10882.85,"laborHours":41830.653337276206,"machineHours":5306.0435583039325,"cost":3745892.985160243,"materialsCost":0,"materialsRows":2,"sourceRows":2,"sourceKeys":["auto-c72f5fc5","auto-89917aa5"],"stableKey":"auto-e14295af","rate":344.20147159615755,"scheduledQuantity":0,"scheduledCost":0,"quantityVariance":-10882.85,"scheduleRows":0},{"code":"KQ-09-03","name":"Щитовое ограждение котлованов и траншей, м2","unit":"ед.","quantity":5666.3,"laborHours":31438.921216246657,"machineHours":10231.67709582767,"cost":3678343.801654447,"materialsCost":0,"materialsRows":2,"sourceRows":2,"sourceKeys":["auto-05eb93e0","auto-a6185009"],"stableKey":"auto-da7f2485","rate":649.1614989771891,"scheduledQuantity":0,"scheduledCost":0,"quantityVariance":-5666.3,"scheduleRows":0},{"code":"KQ-09-01","name":"Разработка грунта с погрузкой, м3","unit":"ед.","quantity":22166.120000000003,"laborHours":15915.50926030692,"machineHours":17110.449126041305,"cost":3666964.7660708698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165.43106173163682,"scheduledQuantity":18768.460000000003,"scheduledCost":3104886.264867757,"quantityVariance":-3397.66,"scheduleRows":1},{"code":"KQ-11-02","name":"Устройство буронабивных свай, м","unit":"ед.","quantity":6546,"laborHours":29065.142223138922,"machineHours":19673.25043504216,"cost":3546886.813369462,"materialsCost":0,"materialsRows":6,"sourceRows":6,"sourceKeys":["auto-83bd6596","auto-84bd6729","auto-0db172e1","auto-6453653c","auto-655366cf","auto-66536862"],"stableKey":"auto-500d00c9","rate":541.8403320148888,"scheduledQuantity":0,"scheduledCost":0,"quantityVariance":-6546,"scheduleRows":0},{"code":"KQ-71-03","name":"Устройство бетонных покрытий, м3","unit":"ед.","quantity":1221.18,"laborHours":27817.010039823363,"machineHours":9458.98515684444,"cost":3308589.126079002,"materialsCost":0,"materialsRows":8,"sourceRows":8,"sourceKeys":["auto-868b1051","auto-007f046c","auto-ac5c81ae","auto-ab5ebeb2","auto-3061cea8","auto-3561d687","auto-3461d4f4","auto-3761d9ad"],"stableKey":"auto-3f49dbe8","rate":2709.3377930190486,"scheduledQuantity":1793.04,"scheduledCost":4857951.036394875,"quantityVariance":571.8599999999999,"scheduleRows":1},{"code":"KQ-25-01","name":"Монтаж стеновых сэндвич панелей, м2","unit":"ед.","quantity":5023.18,"laborHours":13142.627945281885,"machineHours":5519.393757972179,"cost":3195689.8568990156,"materialsCost":0,"materialsRows":2,"sourceRows":2,"sourceKeys":["auto-6b8511fa","auto-2d8d62c8"],"stableKey":"auto-e55d1e2d","rate":636.1886010254491,"scheduledQuantity":3935.86,"scheduledCost":2503949.267232024,"quantityVariance":-1087.3200000000002,"scheduleRows":1},{"code":"KQ-38-02","name":"АКЗ трубопроводов, м2","unit":"ед.","quantity":15160.459999999768,"laborHours":48244.14691713749,"machineHours":5041.818841841151,"cost":3118842.1133857607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205.72212936717014,"scheduledQuantity":1708.56,"scheduledCost":351488.6013515722,"quantityVariance":-13451.899999999769,"scheduleRows":1},{"code":"KQ-10-01","name":"Обратная засыпка грунта с уплотнением, м3","unit":"ед.","quantity":18143,"laborHours":18394.046531585118,"machineHours":8470.965615489924,"cost":2487103.5091137644,"materialsCost":0,"materialsRows":10,"sourceRows":10,"sourceKeys":["auto-a7be0ab3","auto-a6be0920","auto-adbe1425","auto-acbe1292","auto-21f85939","auto-2af86764","auto-2bf868f7","auto-b91299a2","auto-ba129b35","auto-b712967c"],"stableKey":"auto-c16b4091","rate":137.08336598764066,"scheduledQuantity":18073.14,"scheduledCost":2477526.865165868,"quantityVariance":-69.86000000000058,"scheduleRows":1},{"code":"KQ-35-01","name":"Неразрушающий контроль стыков (РК), стык","unit":"ед.","quantity":12653.600000000903,"laborHours":23807.895812945375,"machineHours":1367.1928397919212,"cost":2370186.6566766067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187.31322759344675,"scheduledQuantity":13677.32,"scheduledCost":2561942.954028401,"quantityVariance":1023.7199999990971,"scheduleRows":1},{"code":"KQ-49-04","name":"Расключение силового кабеля до 1 кВ, шт. (конец кабеля)","unit":"ед.","quantity":14154.800000000001,"laborHours":28131.54379885252,"machineHours":1337.4452036264838,"cost":1747233.2208219839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123.43750676957525,"scheduledQuantity":6.12,"scheduledCost":755.4375414298006,"quantityVariance":-14148.68,"scheduleRows":1},{"code":"KQ-33-06","name":"Монтаж опор технологических трубопроводов, т","unit":"ед.","quantity":37.04088000000074,"laborHours":18387.46950952642,"machineHours":702.4497218590182,"cost":1506892.7290409314,"materialsCost":0,"materialsRows":4,"sourceRows":4,"sourceKeys":["auto-54860eb2","auto-4f8606d3","auto-89cf46b5","auto-86cf41fc"],"stableKey":"auto-e359a3bd","rate":40681.88253197282,"scheduledQuantity":0.14,"scheduledCost":5695.463554476195,"quantityVariance":-36.90088000000074,"scheduleRows":1},{"code":"KQ-34-03","name":"Монтаж стальных трубопроводов теплых полов технологических зон, м","unit":"ед.","quantity":6720,"laborHours":26294.098110383147,"machineHours":256.3073206145964,"cost":1463827.684981726,"materialsCost":0,"materialsRows":2,"sourceRows":2,"sourceKeys":["auto-31f3c180","auto-fe44a2fd"],"stableKey":"auto-e34298d5","rate":217.83150074132828,"scheduledQuantity":8149.96,"scheduledCost":1775318.017781796,"quantityVariance":1429.96,"scheduleRows":1},{"code":"KQ-48-02","name":"Монтаж оптического кабеля, м","unit":"ед.","quantity":32034,"laborHours":14256.575992024707,"machineHours":3816.8600884131965,"cost":1307870.5610207007,"materialsCost":0,"materialsRows":5,"sourceRows":5,"sourceKeys":["auto-84fc582b","auto-860da2df","auto-4b9254ba","auto-4c92564d","auto-49925194"],"stableKey":"auto-3584a6cf","rate":40.82757573268093,"scheduledQuantity":0,"scheduledCost":0,"quantityVariance":-32034,"scheduleRows":0},{"code":"KQ-24-01","name":"Монтаж решетчатого настила, м2","unit":"ед.","quantity":4894.6,"laborHours":14822.970754576032,"machineHours":2203.080126552659,"cost":1269468.918387839,"materialsCost":0,"materialsRows":2,"sourceRows":2,"sourceKeys":["auto-11a3ed4c","auto-0846db87"],"stableKey":"auto-aaaae2ec","rate":259.3611160029091,"scheduledQuantity":371.5,"scheduledCost":96352.65459508073,"quantityVariance":-4523.1,"scheduleRows":1},{"code":"KQ-60-01","name":"Монтаж приборов КИПиА, шт.","unit":"ед.","quantity":1846,"laborHours":16573.528387806196,"machineHours":2450.3341192226058,"cost":1253068.1157904717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678.8017962028557,"scheduledQuantity":12,"scheduledCost":8145.621554434269,"quantityVariance":-1834,"scheduleRows":1},{"code":"KQ-97-11","name":"Контурные тестирования КИПиА (технологические системы), шт.","unit":"ед.","quantity":1968,"laborHours":13533.215509183276,"machineHours":210.23053613871224,"cost":1250704.4855983849,"materialsCost":0,"materialsRows":4,"sourceRows":4,"sourceKeys":["auto-416f091b","auto-406f0788","auto-7bba8794","auto-6aa923b0"],"stableKey":"auto-b2abe653","rate":635.5205719503988,"scheduledQuantity":0,"scheduledCost":0,"quantityVariance":-1968,"scheduleRows":0},{"code":"KQ-16-01","name":"Устройство безусадочной подливки, м3","unit":"ед.","quantity":122.29999999999998,"laborHours":17778.346132191113,"machineHours":1233.085467445822,"cost":1089620.627993491,"materialsCost":0,"materialsRows":6,"sourceRows":6,"sourceKeys":["auto-5194a81f","auto-5294a9b2","auto-5394ab45","auto-20b22b94","auto-23b2304d","auto-22b22eba"],"stableKey":"auto-71a67987","rate":8909.408241974581,"scheduledQuantity":153.34,"scheduledCost":1366168.6598243823,"quantityVariance":31.04000000000002,"scheduleRows":1},{"code":"KQ-41-02","name":"Холодоизоляция технологических трубопроводов (пеностеклом), м2","unit":"ед.","quantity":1900.34,"laborHours":19261.834789083834,"machineHours":289.76263909906083,"cost":938487.6739240232,"materialsCost":0,"materialsRows":7,"sourceRows":7,"sourceKeys":["auto-7912c0ce","auto-7a12c261","auto-7b12c3f4","auto-3cc73f2f","auto-3dc740c2","auto-3ec74255","auto-37c73750"],"stableKey":"auto-6da8f3f6","rate":493.85250740605534,"scheduledQuantity":0,"scheduledCost":0,"quantityVariance":-1900.34,"scheduleRows":0},{"code":"KQ-27-02","name":"Монтаж статического колонного и емкостного оборудования, т","unit":"ед.","quantity":292.37999999999994,"laborHours":7508.413025387681,"machineHours":679.6070813319632,"cost":852678.9866597233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2916.338281208439,"scheduledQuantity":246.68,"scheduledCost":719402.3272084978,"quantityVariance":-45.69999999999993,"scheduleRows":1},{"code":"KQ-58-01","name":"Монтаж щитового оборудования КИПиА, шт.","unit":"ед.","quantity":266,"laborHours":9671.07253716272,"machineHours":2319.0983358366866,"cost":850859.5686839322,"materialsCost":0,"materialsRows":8,"sourceRows":8,"sourceKeys":["auto-a4a9765f","auto-a3a974cc","auto-a7a97b18","auto-561a8106","auto-541a7de0","auto-5a1a8752","auto-f69911f7","auto-719c122f"],"stableKey":"auto-90ab64f5","rate":3198.7201830223016,"scheduledQuantity":22,"scheduledCost":70371.84402649064,"quantityVariance":-244,"scheduleRows":1},{"code":"KQ-04-02","name":"Транспортировка отходов на полигон или площадку складирования, т*км","unit":"ед.","quantity":88890.71133333334,"laborHours":0,"machineHours":3693.0092605563923,"cost":844804.2124429859,"materialsCost":0,"materialsRows":4,"sourceRows":4,"sourceKeys":["auto-7d1a9ea0","auto-759582ec","auto-7695847f","auto-77958612"],"stableKey":"auto-c445b657","rate":9.503852537246946,"scheduledQuantity":0,"scheduledCost":0,"quantityVariance":-88890.71133333334,"scheduleRows":0},{"code":"KQ-59-01","name":"Монтаж оконечных и распределительных устройств силовых сетей, шт.","unit":"ед.","quantity":4428,"laborHours":12147.833412864615,"machineHours":987.7635066743237,"cost":809695.7969134757,"materialsCost":0,"materialsRows":10,"sourceRows":10,"sourceKeys":["auto-def283f1","auto-dbf27f38","auto-dff4c41b","auto-e0f4c5ae","auto-b068af9d","auto-ae68ac77","auto-ad68aae4","auto-a4689cb9","auto-f618c6cd","auto-f418c3a7"],"stableKey":"auto-76490df4","rate":182.85812938425377,"scheduledQuantity":0,"scheduledCost":0,"quantityVariance":-4428,"scheduleRows":0},{"code":"KQ-69-02","name":"Отделка стен, м2","unit":"ед.","quantity":2806.22,"laborHours":10238.368972884244,"machineHours":507.2295692483764,"cost":774797.723639311,"materialsCost":0,"materialsRows":3,"sourceRows":3,"sourceKeys":["auto-c292da43","auto-cf92eeba","auto-d092f04d"],"stableKey":"auto-4fd4ab04","rate":276.1001359976449,"scheduledQuantity":333.98,"scheduledCost":92211.92342049345,"quantityVariance":-2472.24,"scheduleRows":1},{"code":"KQ-69-03","name":"Устройство полов, м2","unit":"ед.","quantity":404.84,"laborHours":9302.066802380741,"machineHours":539.3221742401262,"cost":739425.112386197,"materialsCost":0,"materialsRows":9,"sourceRows":9,"sourceKeys":["auto-1c9b4bec","auto-9393b87c","auto-9493ba0f","auto-8f93b230","auto-9093b3c3","auto-9193b556","auto-9395f713","auto-9295f580","auto-86a993d7"],"stableKey":"auto-50d4ac97","rate":1826.46258370269,"scheduledQuantity":3653.68,"scheduledCost":6673309.812822844,"quantityVariance":3248.8399999999997,"scheduleRows":1},{"code":"KQ-27-13","name":"Монтаж насосов, т","unit":"ед.","quantity":66.60000000000001,"laborHours":7088.438045676793,"machineHours":784.7585866575497,"cost":652576.631254631,"materialsCost":0,"materialsRows":6,"sourceRows":6,"sourceKeys":["auto-4bb442c9","auto-4ab44136","auto-55b45287","auto-54b450f4","auto-a4549101","auto-a3548f6e"],"stableKey":"auto-b25aaf7c","rate":9798.447916736199,"scheduledQuantity":94.88,"scheduledCost":929676.7383399305,"quantityVariance":28.279999999999987,"scheduleRows":1},{"code":"KQ-03-25","name":"Демонтаж кабелей и проводов, м","unit":"ед.","quantity":46704,"laborHours":1245.2708396369362,"machineHours":2441.5994360829013,"cost":627882.8801189667,"materialsCost":0,"materialsRows":9,"sourceRows":9,"sourceKeys":["auto-d07623c6","auto-cf762233","auto-ce7620a0","auto-d5762ba5","auto-d4762a12","auto-148cac01","auto-138caa6e","auto-168caf27","auto-158cad94"],"stableKey":"auto-6b30e4bf","rate":13.44387804297205,"scheduledQuantity":9780.48,"scheduledCost":131487.58032172726,"quantityVariance":-36923.520000000004,"scheduleRows":1},{"code":"KQ-64-02","name":"Монтаж стальных трубопроводов внутренних инженерных сетей, м","unit":"ед.","quantity":1631.58,"laborHours":9953.099152072084,"machineHours":509.0136887841692,"cost":615085.5479953561,"materialsCost":0,"materialsRows":6,"sourceRows":6,"sourceKeys":["auto-58ced946","auto-63ceea97","auto-62cee904","auto-55cc95f6","auto-a21eec8a","auto-a11eeaf7"],"stableKey":"auto-f25745c9","rate":376.9876732954291,"scheduledQuantity":0,"scheduledCost":0,"quantityVariance":-1631.58,"scheduleRows":0},{"code":"KQ-69-06","name":"Устройство фальшпола, м2","unit":"ед.","quantity":1400,"laborHours":8159.730471330137,"machineHours":389.34757988244087,"cost":610757.2042530945,"materialsCost":0,"materialsRows":2,"sourceRows":2,"sourceKeys":["auto-a27e91ca","auto-a17e9037"],"stableKey":"auto-4bd4a4b8","rate":436.2551458950675,"scheduledQuantity":0,"scheduledCost":0,"quantityVariance":-1400,"scheduleRows":0},{"code":"KQ-35-02","name":"Неразрушающий контроль стыков (все виды, кроме РК), стык","unit":"ед.","quantity":4633,"laborHours":5961.620545575828,"machineHours":383.52170424816416,"cost":603478.8638859574,"materialsCost":0,"materialsRows":5,"sourceRows":5,"sourceKeys":["auto-121298b9","auto-11129726","auto-dbc7208c","auto-dec72545","auto-ddc723b2"],"stableKey":"auto-627a8633","rate":130.25660778889647,"scheduledQuantity":0,"scheduledCost":0,"quantityVariance":-4633,"scheduleRows":0},{"code":"KQ-19-01","name":"Монтаж трубопроводов подземных сетей (стальные), м","unit":"ед.","quantity":782.6,"laborHours":7680.795633667002,"machineHours":1200.123244167782,"cost":594159.7757999678,"materialsCost":0,"materialsRows":7,"sourceRows":7,"sourceKeys":["auto-c154ecb5","auto-ba54e1b0","auto-bb54e343","auto-bc54e4d6","auto-bd54e669","auto-c654f494","auto-c754f627"],"stableKey":"auto-769cbd58","rate":759.2125936621106,"scheduledQuantity":0,"scheduledCost":0,"quantityVariance":-782.6,"scheduleRows":0},{"code":"KQ-71-02","name":"Устройство щебеночных оснований и покрытий, м3","unit":"ед.","quantity":3389.1400000000003,"laborHours":3511.9353271243112,"machineHours":1962.1347062145192,"cost":565221.1981394439,"materialsCost":0,"materialsRows":4,"sourceRows":4,"sourceKeys":["auto-0631d790","auto-1531ef2d","auto-b1d3b62a","auto-b2d3b7bd"],"stableKey":"auto-4049dd7b","rate":166.77422536084194,"scheduledQuantity":2326.66,"scheduledCost":388026.9191780565,"quantityVariance":-1062.4800000000005,"scheduleRows":1},{"code":"KQ-71-05","name":"Устройство покрытий из сборных ж/б плит, м2","unit":"ед.","quantity":4078.368,"laborHours":6283.200000000001,"machineHours":799.6800000000001,"cost":532839.9892752132,"materialsCost":0,"materialsRows":1,"sourceRows":1,"sourceKeys":["auto-3e3a99d6"],"stableKey":"auto-4549e55a","rate":130.65029670574435,"scheduledQuantity":0,"scheduledCost":0,"quantityVariance":-4078.368,"scheduleRows":0},{"code":"KQ-69-01","name":"Кладка стен и перегородок, м3","unit":"ед.","quantity":432.8,"laborHours":5137.336,"machineHours":527.1504,"cost":514109.6428615828,"materialsCost":865.6,"materialsRows":1,"sourceRows":1,"sourceKeys":["auto-6db5e2a4"],"stableKey":"auto-52d4afbd","rate":1187.8688605859122,"scheduledQuantity":451.06,"scheduledCost":535800.1282558816,"quantityVariance":18.25999999999999,"scheduleRows":1},{"code":"KQ-03-13","name":"Демонтаж инженерных и технологических трубопроводов, м","unit":"ед.","quantity":3615.8999999999996,"laborHours":2092.2153639919325,"machineHours":1721.7529220573724,"cost":510378.21851648245,"materialsCost":0,"materialsRows":5,"sourceRows":5,"sourceKeys":["auto-43c0589e","auto-d0c64b5d","auto-c1c633c0","auto-c2c63553","auto-4fc951e1"],"stableKey":"auto-f938800e","rate":141.14832227563883,"scheduledQuantity":10,"scheduledCost":1411.4832227563884,"quantityVariance":-3605.8999999999996,"scheduleRows":1},{"code":"KQ-27-10","name":"Монтаж градирен, т","unit":"ед.","quantity":104,"laborHours":7037.394312166562,"machineHours":104.57111970888003,"cost":510073.3769819844,"materialsCost":0,"materialsRows":1,"sourceRows":1,"sourceKeys":["auto-92ea2c4e"],"stableKey":"auto-b55ab435","rate":4904.5517017498505,"scheduledQuantity":0,"scheduledCost":0,"quantityVariance":-104,"scheduleRows":0},{"code":"KQ-28-01","name":"Монтаж грузоподъемного оборудования, шт.","unit":"ед.","quantity":24,"laborHours":4859.8621105750235,"machineHours":595.1937697211937,"cost":503180.4078379804,"materialsCost":0,"materialsRows":1,"sourceRows":1,"sourceKeys":["auto-944c8ed4"],"stableKey":"auto-bb8bb8c0","rate":20965.850326582517,"scheduledQuantity":0,"scheduledCost":0,"quantityVariance":-24,"scheduleRows":0},{"code":"KQ-97-19","name":"Дополнительная очистка трубопроводов, м","unit":"ед.","quantity":840,"laborHours":4968.574521096618,"machineHours":99.36622234780457,"cost":463063.10925193375,"materialsCost":0,"materialsRows":1,"sourceRows":1,"sourceKeys":["auto-7ee1ed87"],"stableKey":"auto-baabf2eb","rate":551.2656062523021,"scheduledQuantity":0,"scheduledCost":0,"quantityVariance":-840,"scheduleRows":0},{"code":"KQ-01-01","name":"Демонтаж дорог, площадок и тротуаров, м3","unit":"ед.","quantity":1277.9479999999999,"laborHours":6071.928677056932,"machineHours":535.1927306488255,"cost":460570.94295955263,"materialsCost":0,"materialsRows":3,"sourceRows":3,"sourceKeys":["auto-e860ea3f","auto-cb899a5c","auto-cc899bef"],"stableKey":"auto-41f98617","rate":360.398813535099,"scheduledQuantity":3792.62,"scheduledCost":1366855.7481894873,"quantityVariance":2514.672,"scheduleRows":1},{"code":"KQ-57-03","name":"Монтаж щитового оборудования РУ, ВРУ, шт.","unit":"ед.","quantity":112,"laborHours":5380.604731697435,"machineHours":777.5767461732659,"cost":404397.1071096413,"materialsCost":0,"materialsRows":7,"sourceRows":7,"sourceKeys":["auto-659aa5af","auto-629aa0f6","auto-639aa289","auto-609a9dd0","auto-619a9f63","auto-6c9cef4b","auto-a31e8172"],"stableKey":"auto-894d88dc","rate":3610.688456336083,"scheduledQuantity":13.34,"scheduledCost":48166.58400752335,"quantityVariance":-98.66,"scheduleRows":1},{"code":"</t>
        </is>
      </c>
    </row>
    <row r="5">
      <c r="A5" t="inlineStr">
        <is>
          <t xml:space="preserve">KQ-68-03","name":"Устройство вентилируемых фасадов с облицовкой, м2","unit":"ед.","quantity":1232,"laborHours":4890.492632779954,"machineHours":242.28492625212775,"cost":370092.4013764364,"materialsCost":0,"materialsRows":1,"sourceRows":1,"sourceKeys":["auto-126c0182"],"stableKey":"auto-6075a4e2","rate":300.3996764419127,"scheduledQuantity":0,"scheduledCost":0,"quantityVariance":-1232,"scheduleRows":0},{"code":"KQ-12-01","name":"Устройство подбетонки, м3","unit":"ед.","quantity":522.5400000000001,"laborHours":5034.987825799066,"machineHours":384.4321803321059,"cost":348730.69253325684,"materialsCost":0,"materialsRows":4,"sourceRows":4,"sourceKeys":["auto-33284e38","auto-303992a0","auto-18198923","auto-9712024b"],"stableKey":"auto-0d54dc43","rate":667.3760717519363,"scheduledQuantity":628.64,"scheduledCost":419539.2937461372,"quantityVariance":106.09999999999991,"scheduleRows":1},{"code":"KQ-18-02","name":"Монтаж сборных ж/б колодцев, м3","unit":"ед.","quantity":85.96,"laborHours":4154.578187383801,"machineHours":447.4129771580479,"cost":315653.1160789126,"materialsCost":0,"materialsRows":1,"sourceRows":1,"sourceKeys":["auto-82a78b19"],"stableKey":"auto-47fb9440","rate":3672.093020927322,"scheduledQuantity":8.32,"scheduledCost":30551.81393411532,"quantityVariance":-77.63999999999999,"scheduleRows":1},{"code":"KQ-09-02","name":"Шпунтовое ограждение котлованов и траншей, т","unit":"ед.","quantity":143.6,"laborHours":2169.2050713102226,"machineHours":683.2355435267862,"cost":300541.207078303,"materialsCost":0,"materialsRows":2,"sourceRows":2,"sourceKeys":["auto-5be93906","auto-7504b3e0"],"stableKey":"auto-d97f22f2","rate":2092.9053417709124,"scheduledQuantity":225.8,"scheduledCost":472578.02617187204,"quantityVariance":82.20000000000002,"scheduleRows":1},{"code":"KQ-27-04","name":"Монтаж теплообменников, холодильников и пароводяных подогревателей, т","unit":"ед.","quantity":61.22,"laborHours":2218.245294688743,"machineHours":510.2626364005381,"cost":300303.6984299749,"materialsCost":0,"materialsRows":7,"sourceRows":7,"sourceKeys":["auto-c18f6fe3","auto-c08f6e50","auto-c38f7309","auto-c28f7176","auto-c58f762f","auto-6d2c98b0","auto-702c9d69"],"stableKey":"auto-ab5865e0","rate":4905.320131165876,"scheduledQuantity":95.47999999999999,"scheduledCost":468359.9661237178,"quantityVariance":34.25999999999999,"scheduleRows":1},{"code":"KQ-51-01","name":"Монтаж проводника заземления (провод), м","unit":"ед.","quantity":4352,"laborHours":3873.7185960557053,"machineHours":588.7742287099283,"cost":295039.70032479725,"materialsCost":0,"materialsRows":5,"sourceRows":5,"sourceKeys":["auto-de90e8e3","auto-dd90e750","auto-608de3f2","auto-e73dffb3","auto-ec3e0792"],"stableKey":"auto-63a1327c","rate":67.79404878786701,"scheduledQuantity":204,"scheduledCost":13829.98595272487,"quantityVariance":-4148,"scheduleRows":1},{"code":"KQ-22-01","name":"Монтаж основных металлоконструкций зданий, т","unit":"ед.","quantity":54.239999999999995,"laborHours":2855.7092061072963,"machineHours":707.3881368940206,"cost":288699.5761317345,"materialsCost":0,"materialsRows":1,"sourceRows":1,"sourceKeys":["auto-c27e2ee2"],"stableKey":"auto-0ac61132","rate":5322.63230331369,"scheduledQuantity":3.72,"scheduledCost":19800.192168326925,"quantityVariance":-50.519999999999996,"scheduleRows":1},{"code":"KQ-67-01","name":"Монтаж кровли из профлиста, м2","unit":"ед.","quantity":733.5799999999999,"laborHours":1386.7794950283612,"machineHours":454.104846911816,"cost":279198.207299694,"materialsCost":0,"materialsRows":3,"sourceRows":3,"sourceKeys":["auto-95785226","auto-1f7b69fb","auto-8689ad2d"],"stableKey":"auto-af9f2143","rate":380.5968092092124,"scheduledQuantity":0,"scheduledCost":0,"quantityVariance":-733.5799999999999,"scheduleRows":0},{"code":"KQ-97-14","name":"Конфигурирование и настройка оборудования, шт.","unit":"ед.","quantity":108,"laborHours":3089.1554356857346,"machineHours":11.923946681736547,"cost":279182.88333694433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2585.0266975642994,"scheduledQuantity":0,"scheduledCost":0,"quantityVariance":-108,"scheduleRows":0},{"code":"KQ-45-02","name":"Монтаж стальных кабелепроводов, м","unit":"ед.","quantity":6387,"laborHours":4245.465282479299,"machineHours":207.07496206926797,"cost":272746.6447467703,"materialsCost":0,"materialsRows":6,"sourceRows":6,"sourceKeys":["auto-245cf583","auto-295cfd62","auto-2a5cfef5","auto-275cfa3c","auto-2469c176","auto-2b69cc7b"],"stableKey":"auto-5336fc3a","rate":42.70340453213877,"scheduledQuantity":0,"scheduledCost":0,"quantityVariance":-6387,"scheduleRows":0},{"code":"KQ-66-03","name":"Монтаж ворот на зданиях, м2","unit":"ед.","quantity":196.98,"laborHours":3479.899939857786,"machineHours":172.4013026094593,"cost":263344.5384743579,"materialsCost":0,"materialsRows":1,"sourceRows":1,"sourceKeys":["auto-112dfdfe"],"stableKey":"auto-5026f474","rate":1336.9100338834294,"scheduledQuantity":0,"scheduledCost":0,"quantityVariance":-196.98,"scheduleRows":0},{"code":"KQ-12-04","name":"Мощение, м3","unit":"ед.","quantity":305.48,"laborHours":2822.0906402950413,"machineHours":449.8961835327333,"cost":241915.61638832168,"materialsCost":0,"materialsRows":2,"sourceRows":2,"sourceKeys":["auto-81bec0b6","auto-b1940c79"],"stableKey":"auto-1054e0fc","rate":791.9196555857067,"scheduledQuantity":0,"scheduledCost":0,"quantityVariance":-305.48,"scheduleRows":0},{"code":"KQ-66-02","name":"Монтаж дверей, люков и решеток, м2","unit":"ед.","quantity":203.48,"laborHours":3114.7290776939217,"machineHours":154.3099972845589,"cost":235709.90707034225,"materialsCost":0,"materialsRows":3,"sourceRows":3,"sourceKeys":["auto-4bda0a1e","auto-4ada088b","auto-8597e322"],"stableKey":"auto-5126f607","rate":1158.393488649215,"scheduledQuantity":0,"scheduledCost":0,"quantityVariance":-203.48,"scheduleRows":0},{"code":"KQ-46-02","name":"Монтаж металлорукавов, м","unit":"ед.","quantity":7210,"laborHours":3452.7072546648565,"machineHours":164.08429230754447,"cost":221060.5764353248,"materialsCost":0,"materialsRows":7,"sourceRows":7,"sourceKeys":["auto-26e4cf2e","auto-27e4d0c1","auto-24e4cc08","auto-77483701","auto-7648356e","auto-754833db","auto-74483248"],"stableKey":"auto-b263be0d","rate":30.660274124178198,"scheduledQuantity":324.21999999999997,"scheduledCost":9940.674076541054,"quantityVariance":-6885.78,"scheduleRows":1},{"code":"KQ-60-03","name":"Монтаж приборов охранно-пожарной сигнализации, оповещения и связи, шт.","unit":"ед.","quantity":982,"laborHours":2900.212747648993,"machineHours":343.78530980486823,"cost":207837.3001212693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211.64694513367547,"scheduledQuantity":0,"scheduledCost":0,"quantityVariance":-982,"scheduleRows":0},{"code":"KQ-71-11","name":"Устройство щебеночных оснований, м3","unit":"ед.","quantity":1376,"laborHours":853.12,"machineHours":825.6,"cost":203043.3502184942,"materialsCost":0,"materialsRows":1,"sourceRows":1,"sourceKeys":["auto-0c44a8ab"],"stableKey":"auto-bd46d0ab","rate":147.56057428669635,"scheduledQuantity":0,"scheduledCost":0,"quantityVariance":-1376,"scheduleRows":0},{"code":"KQ-62-01","name":"Монтаж воздуховодов, м2","unit":"ед.","quantity":797.64,"laborHours":3109.758008500356,"machineHours":246.94363274753715,"cost":200089.80410840025,"materialsCost":0,"materialsRows":9,"sourceRows":9,"sourceKeys":["auto-689aac31","auto-679aaa9e","auto-27601259","auto-266010c6","auto-25600f33","auto-6affce0b","auto-69ffcc78","auto-6cffd131","auto-6bffcf9e"],"stableKey":"auto-40935bde","rate":250.8522693300239,"scheduledQuantity":68.08,"scheduledCost":17078.022495988025,"quantityVariance":-729.56,"scheduleRows":1},{"code":"KQ-63-07","name":"Монтаж устройств пожаротушения, шт.","unit":"ед.","quantity":862,"laborHours":2582.811330795098,"machineHours":218.7760510225768,"cost":193794.53771902644,"materialsCost":0,"materialsRows":3,"sourceRows":3,"sourceKeys":["auto-9d82d02a","auto-9e82d1bd","auto-41b79c32"],"stableKey":"auto-11f0bb61","rate":224.81964932601676,"scheduledQuantity":0,"scheduledCost":0,"quantityVariance":-862,"scheduleRows":0},{"code":"KQ-49-02","name":"Монтаж силового кабеля от 1 до 35 кВ, м","unit":"ед.","quantity":3872.0000000000005,"laborHours":2651.977922050999,"machineHours":322.5053344561421,"cost":191144.15851513908,"materialsCost":0,"materialsRows":3,"sourceRows":3,"sourceKeys":["auto-502fec2e","auto-512fedc1","auto-f05ad4c6"],"stableKey":"auto-fb50333e","rate":49.365743418166076,"scheduledQuantity":0,"scheduledCost":0,"quantityVariance":-3872.0000000000005,"scheduleRows":0},{"code":"KQ-27-14","name":"Монтаж механических фильтров и циклонов, т","unit":"ед.","quantity":34.914,"laborHours":791.9746537722906,"machineHours":563.5611261775629,"cost":189786.342294275,"materialsCost":0,"materialsRows":6,"sourceRows":6,"sourceKeys":["auto-1947b6d6","auto-1a47b869","auto-1747b3b0","auto-1847b543","auto-e2cc6efd","auto-cfdf7f51"],"stableKey":"auto-b15aade9","rate":5435.823517622587,"scheduledQuantity":29.98,"scheduledCost":162965.98905832515,"quantityVariance":-4.934000000000001,"scheduleRows":1},{"code":"KQ-68-02","name":"Утепление фасадов, м3","unit":"ед.","quantity":186,"laborHours":2477.8930243738164,"machineHours":122.75984726917085,"cost":187516.76949631525,"materialsCost":0,"materialsRows":1,"sourceRows":1,"sourceKeys":["auto-dacfddb2"],"stableKey":"auto-6175a675","rate":1008.1546747113723,"scheduledQuantity":0,"scheduledCost":0,"quantityVariance":-186,"scheduleRows":0},{"code":"KQ-03-10","name":"Демонтаж инженерного и технологического оборудования, т","unit":"ед.","quantity":12.540000000000001,"laborHours":1908.9177362639646,"machineHours":325.29045013590576,"cost":180718.9923197715,"materialsCost":0,"materialsRows":3,"sourceRows":3,"sourceKeys":["auto-b5600395","auto-b4624099","auto-b3623f06"],"stableKey":"auto-f8387e7b","rate":14411.402896313515,"scheduledQuantity":0.6,"scheduledCost":8646.841737788109,"quantityVariance":-11.940000000000001,"scheduleRows":1},{"code":"KQ-03-08","name":"Демонтаж черновой отделки, м2","unit":"ед.","quantity":1400,"laborHours":2981.1447126579696,"machineHours":33.12207411593485,"cost":173594.81080340184,"materialsCost":0,"materialsRows":1,"sourceRows":1,"sourceKeys":["auto-fac9b269"],"stableKey":"auto-7a35798a","rate":123.9962934310013,"scheduledQuantity":1008.9,"scheduledCost":125099.86044253722,"quantityVariance":-391.1,"scheduleRows":1},{"code":"KQ-11-07","name":"Испытание свай, шт.","unit":"ед.","quantity":72,"laborHours":13.784044053157686,"machineHours":1721.9523963180684,"cost":169544.39876945748,"materialsCost":0,"materialsRows":7,"sourceRows":7,"sourceKeys":["auto-f43ea422","auto-ef3e9c43","auto-ee3e9ab0","auto-f13e9f69","auto-0e5a208f","auto-0b5a1bd6","auto-0c5a1d69"],"stableKey":"auto-530d0582","rate":2354.783316242465,"scheduledQuantity":0,"scheduledCost":0,"quantityVariance":-72,"scheduleRows":0},{"code":"KQ-25-02","name":"Монтаж кровельных сэндвич панелей, м2","unit":"ед.","quantity":296,"laborHours":634.1103960182222,"machineHours":288.49357405825435,"cost":164220.47861161834,"materialsCost":0,"materialsRows":1,"sourceRows":1,"sourceKeys":["auto-6fe3e2bd"],"stableKey":"auto-e25d1974","rate":554.7989142284404,"scheduledQuantity":0,"scheduledCost":0,"quantityVariance":-296,"scheduleRows":0},{"code":"KQ-11-01","name":"Погружение забивных свай (ж/б), м","unit":"ед.","quantity":658.8,"laborHours":1743.6137056145078,"machineHours":669.9092214738041,"cost":162761.63929204273,"materialsCost":0,"materialsRows":2,"sourceRows":2,"sourceKeys":["auto-c606bfa4","auto-c906c45d"],"stableKey":"auto-4d0cfc10","rate":247.0577402732889,"scheduledQuantity":0,"scheduledCost":0,"quantityVariance":-658.8,"scheduleRows":0},{"code":"KQ-51-02","name":"Монтаж проводника заземления (полоса), м","unit":"ед.","quantity":6676,"laborHours":2396.7526887481167,"machineHours":209.9624150995278,"cost":161780.92151449804,"materialsCost":0,"materialsRows":6,"sourceRows":6,"sourceKeys":["auto-f27473c7","auto-f374755a","auto-f47476ed","auto-043482bb","auto-0534844e","auto-063485e1"],"stableKey":"auto-66a13735","rate":24.233211730751655,"scheduledQuantity":3374.94,"scheduledCost":81785.63559858299,"quantityVariance":-3301.06,"scheduleRows":1},{"code":"KQ-20-02","name":"Устройство открытого подземного перехода (футляра), м","unit":"ед.","quantity":116,"laborHours":2268.414527545997,"machineHours":265.02682701026174,"cost":158521.54059319734,"materialsCost":0,"materialsRows":2,"sourceRows":2,"sourceKeys":["auto-6a3a020d","auto-6739fd54"],"stableKey":"auto-681c4841","rate":1366.5650051137702,"scheduledQuantity":10.2,"scheduledCost":13938.963052160456,"quantityVariance":-105.8,"scheduleRows":1},{"code":"KQ-71-01","name":"Укладка геоматериалов, м2","unit":"ед.","quantity":8196.4,"laborHours":1448.899388524758,"machineHours":499.603823668981,"cost":158259.63714427015,"materialsCost":0,"materialsRows":3,"sourceRows":3,"sourceKeys":["auto-c9a5ac91","auto-a784d3f1","auto-e1bf62c4"],"stableKey":"auto-4149df0e","rate":19.30843262215975,"scheduledQuantity":10997.720000000001,"scheduledCost":212348.73561737873,"quantityVariance":2801.3200000000015,"scheduleRows":1},{"code":"KQ-62-05","name":"Тепловая изоляция воздуховодов, м2","unit":"ед.","quantity":756,"laborHours":3124.718833671497,"machineHours":66.79116078892721,"cost":155173.14325351472,"materialsCost":0,"materialsRows":3,"sourceRows":3,"sourceKeys":["auto-9897e369","auto-9797e1d6","auto-a297f327"],"stableKey":"auto-4493622a","rate":205.2554804940671,"scheduledQuantity":0,"scheduledCost":0,"quantityVariance":-756,"scheduleRows":0},{"code":"KQ-67-04","name":"Устройство покрытий кровли из ПВХ мембраны или наплавляемых материалов, м2","unit":"ед.","quantity":1710.9,"laborHours":1897.3449327214503,"machineHours":93.99831706482996,"cost":143583.2737347648,"materialsCost":0,"materialsRows":3,"sourceRows":3,"sourceKeys":["auto-6393f4b8","auto-6493f64b","auto-6593f7de"],"stableKey":"auto-b29f25fc","rate":83.92265692604174,"scheduledQuantity":0,"scheduledCost":0,"quantityVariance":-1710.9,"scheduleRows":0},{"code":"KQ-12-03","name":"Утепление строительных конструкций ниже 0, м3","unit":"ед.","quantity":148.2,"laborHours":2278.0204382867832,"machineHours":119.67132864206644,"cost":142964.752269443,"materialsCost":0,"materialsRows":2,"sourceRows":2,"sourceKeys":["auto-38082623","auto-5c04bb68"],"stableKey":"auto-0f54df69","rate":964.6744417641229,"scheduledQuantity":41.98,"scheduledCost":40497.03306525788,"quantityVariance":-106.22,"scheduleRows":1},{"code":"KQ-50-01","name":"Монтаж греющего кабеля, м","unit":"ед.","quantity":6751.08,"laborHours":2046.6710879344066,"machineHours":211.405283294821,"cost":142471.36287877848,"materialsCost":0,"materialsRows":2,"sourceRows":2,"sourceKeys":["auto-f7b0fcab","auto-bbb71208"],"stableKey":"auto-5800407d","rate":21.103492015911304,"scheduledQuantity":0,"scheduledCost":0,"quantityVariance":-6751.08,"scheduleRows":0},{"code":"KQ-61-02","name":"Монтаж основного оборудования кондиционирования, шт.","unit":"ед.","quantity":12,"laborHours":1607.6217539045003,"machineHours":272.4318574514631,"cost":124867.57684173578,"materialsCost":0,"materialsRows":5,"sourceRows":5,"sourceKeys":["auto-ae2943df","auto-af294572","auto-a9293c00","auto-f1db9680","auto-00dbae1d"],"stableKey":"auto-887fcf7c","rate":10405.63140347798,"scheduledQuantity":0,"scheduledCost":0,"quantityVariance":-12,"scheduleRows":0},{"code":"KQ-59-02","name":"Монтаж оконечных и распределительных устройств слаботочных сетей, шт.","unit":"ед.","quantity":970,"laborHours":1788.072919097219,"machineHours":175.06861161441154,"cost":123174.78027070747,"materialsCost":0,"materialsRows":9,"sourceRows":9,"sourceKeys":["auto-75302048","auto-763021db","auto-7730236e","auto-f4967860","auto-fe98c6b5","auto-1eb4a60f","auto-1db4a47c","auto-20b4a935","auto-b230e3f2"],"stableKey":"auto-794912ad","rate":126.98430955743038,"scheduledQuantity":1.94,"scheduledCost":246.34956054141492,"quantityVariance":-968.06,"scheduleRows":1},{"code":"KQ-48-05","name":"Расключение оптического кабеля, шт. (конец кабеля)","unit":"ед.","quantity":45.666666666666664,"laborHours":1951.4551097488643,"machineHours":59.58337831730269,"cost":116737.03619922638,"materialsCost":0,"materialsRows":5,"sourceRows":5,"sourceKeys":["auto-7472cc91","auto-7372cafe","auto-bf3ba72f","auto-be3ba59c","auto-4138a23e"],"stableKey":"auto-3284a216","rate":2556.2854642166362,"scheduledQuantity":0,"scheduledCost":0,"quantityVariance":-45.666666666666664,"scheduleRows":0},{"code":"KQ-60-02","name":"Монтаж импульсных трубок, м","unit":"ед.","quantity":3514,"laborHours":1146.881766138014,"machineHours":364.7656601284476,"cost":112979.0624492476,"materialsCost":0,"materialsRows":2,"sourceRows":2,"sourceKeys":["auto-f51d88ee","auto-a1a2136e"],"stableKey":"auto-741d81ed","rate":32.15112761788492,"scheduledQuantity":0,"scheduledCost":0,"quantityVariance":-3514,"scheduleRows":0},{"code":"KQ-60-07","name":"Монтаж мультимедийного оборудования и оргтехники, шт.","unit":"ед.","quantity":56,"laborHours":1833.4363749607287,"machineHours":52.96625437723105,"cost":109271.56439033078,"materialsCost":0,"materialsRows":3,"sourceRows":3,"sourceKeys":["auto-17ff2847","auto-548bc2b3","auto-eacd10f9"],"stableKey":"auto-6f1d7a0e","rate":1951.277935541621,"scheduledQuantity":0,"scheduledCost":0,"quantityVariance":-56,"scheduleRows":0},{"code":"KQ-27-11","name":"Монтаж газодувок, вентиляторов и дымососов, т","unit":"ед.","quantity":20,"laborHours":1113.4060551477014,"machineHours":103.15160224676856,"cost":105448.75050038568,"materialsCost":0,"materialsRows":1,"sourceRows":1,"sourceKeys":["auto-335c460c"],"stableKey":"auto-b45ab2a2","rate":5272.437525019284,"scheduledQuantity":0,"scheduledCost":0,"quantityVariance":-20,"scheduleRows":0},{"code":"KQ-50-02","name":"Расключение греющего кабеля, шт. (конец кабеля)","unit":"ед.","quantity":1092,"laborHours":1444.464694851149,"machineHours":92.81674621730491,"cost":92963.62308099405,"materialsCost":0,"materialsRows":4,"sourceRows":4,"sourceKeys":["auto-704e89a3","auto-6f4e8810","auto-77959e48","auto-76959cb5"],"stableKey":"auto-55003bc4","rate":85.13152296794327,"scheduledQuantity":0,"scheduledCost":0,"quantityVariance":-1092,"scheduleRows":0},{"code":"KQ-55-01","name":"Монтаж ИБП, шт.","unit":"ед.","quantity":10,"laborHours":1051.208409392013,"machineHours":210.23053613871224,"cost":86854.15452723118,"materialsCost":0,"materialsRows":4,"sourceRows":4,"sourceKeys":["auto-5d9e88ee","auto-5e9e8a81","auto-6b01eef9","auto-6a01ed66"],"stableKey":"auto-1e129318","rate":8685.415452723119,"scheduledQuantity":0,"scheduledCost":0,"quantityVariance":-10,"scheduleRows":0},{"code":"KQ-27-19","name":"Монтаж ВКУ технологического оборудования, т","unit":"ед.","quantity":2.8,"laborHours":1053.404046132764,"machineHours":72.86856305505667,"cost":83621.85072953696,"materialsCost":0,"materialsRows":1,"sourceRows":1,"sourceKeys":["auto-037ec6c1"],"stableKey":"auto-bc5abf3a","rate":29864.946689120345,"scheduledQuantity":3.64,"scheduledCost":108708.40594839805,"quantityVariance":0.8400000000000003,"scheduleRows":1},{"code":"KQ-68-05","name":"Облицовка фасадов плиткой, м2","unit":"ед.","quantity":172,"laborHours":1118.366747068907,"machineHours":52.767769003223144,"cost":83440.50124077844,"materialsCost":0,"materialsRows":1,"sourceRows":1,"sourceKeys":["auto-a232528b"],"stableKey":"auto-5a759b70","rate":485.1191932603397,"scheduledQuantity":0,"scheduledCost":0,"quantityVariance":-172,"scheduleRows":0},{"code":"KQ-69-04","name":"Устройство потолков, м2","unit":"ед.","quantity":0,"laborHours":940.7284796712497,"machineHours":46.605597316044566,"cost":71190.46857388492,"materialsCost":0,"materialsRows":1,"sourceRows":1,"sourceKeys":["auto-21ecc123"],"stableKey":"auto-4dd4a7de","rate":0,"scheduledQuantity":0,"scheduledCost":0,"quantityVariance":0,"scheduleRows":0},{"code":"KQ-64-05","name":"Монтаж запорно-регулирующей и распределительной арматуры внутр. инженерных сетей, шт.","unit":"ед.","quantity":84,"laborHours":1058.3719386044554,"machineHours":82.81355766973212,"cost":68580.50908876825,"materialsCost":0,"materialsRows":9,"sourceRows":9,"sourceKeys":["auto-01512f92","auto-00512dff","auto-f94ee463","auto-6bb58ba7","auto-6db58ecd","auto-3df0e03f","auto-3feea4ce","auto-42584782","auto-3d583fa3"],"stableKey":"auto-f357475c","rate":816.4346320091457,"scheduledQuantity":0,"scheduledCost":0,"quantityVariance":-84,"scheduleRows":0},{"code":"KQ-60-04","name":"Монтаж оборудования оповещения и связи, шт.","unit":"ед.","quantity":166,"laborHours":872.599164321023,"machineHours":142.1558399362459,"cost":67743.13337604914,"materialsCost":0,"materialsRows":6,"sourceRows":6,"sourceKeys":["auto-4ada15b7","auto-47da10fe","auto-48da1291","auto-ec4d45c5","auto-e94d410c","auto-ea4d429f"],"stableKey":"auto-6e1d787b","rate":408.0911649159587,"scheduledQuantity":0,"scheduledCost":0,"quantityVariance":-166,"scheduleRows":0},{"code":"KQ-61-01","name":"Монтаж основного вентиляционного оборудования, шт.","unit":"ед.","quantity":20,"laborHours":933.1011944687249,"machineHours":85.04885478301642,"cost":61659.22961005035,"materialsCost":0,"materialsRows":6,"sourceRows":6,"sourceKeys":["auto-0943e2e1","auto-0843e14e","auto-8f63767e","auto-8e6374eb","auto-94637e5d","auto-cf50b729"],"stableKey":"auto-8b7fd435","rate":3082.9614805025176,"scheduledQuantity":0,"scheduledCost":0,"quantityVariance":-20,"scheduleRows":0},{"code":"KQ-58-02","name":"Монтаж щитового оборудования телекоммуникационных сетей, шт.","unit":"ед.","quantity":4,"laborHours":903.208136769061,"machineHours":81.07467239441681,"cost":61229.13198553517,"materialsCost":0,"materialsRows":8,"sourceRows":8,"sourceKeys":["auto-2c869a28","auto-bd0511e9","auto-ba050d30","auto-bb050ec3","auto-f7509062","auto-f6508ecf","auto-f3508a16","auto-f4508ba9"],"stableKey":"auto-8dab603c","rate":15307.282996383792,"scheduledQuantity":0,"scheduledCost":0,"quantityVariance":-4,"scheduleRows":0},{"code":"KQ-57-02","name":"Монтаж силовых шкафов электрообогрева, шт.","unit":"ед.","quantity":14,"laborHours":720.3959858016658,"machineHours":144.93547800806266,"cost":59637.64046665866,"materialsCost":0,"materialsRows":3,"sourceRows":3,"sourceKeys":["auto-28447761","auto-254472a8","auto-8f54f92a"],"stableKey":"auto-8a4d8a6f","rate":4259.83146190419,"scheduledQuantity":0,"scheduledCost":0,"quantityVariance":-14,"scheduleRows":0},{"code":"KQ-63-06","name":"Монтаж противопожарного оборудования, шт.","unit":"ед.","quantity":0,"laborHours":806.3264921776156,"machineHours":63.02952586504574,"cost":59345.59049913474,"materialsCost":0,"materialsRows":3,"sourceRows":3,"sourceKeys":["auto-2c70fd72","auto-61d84a89","auto-60d848f6"],"stableKey":"auto-10f0b9ce","rate":0,"scheduledQuantity":0,"scheduledCost":0,"quantityVariance":0,"scheduleRows":0},{"code":"KQ-05-01","name":"Расчистка и планировка площадки строительства, м2","unit":"ед.","quantity":3050,"laborHours":721.626299492604,"machineHours":34.33641319325759,"cost":48041.58634685188,"materialsCost":0,"materialsRows":1,"sourceRows":1,"sourceKeys":["auto-7e98811b"],"stableKey":"auto-dc6ab453","rate":15.751339785853075,"scheduledQuantity":6892,"scheduledCost":108558.2338040994,"quantityVariance":3842,"scheduleRows":1},{"code":"KQ-67-02","name":"Утепление кровли, м3","unit":"ед.","quantity":82.08,"laborHours":627.1523197808332,"machineHours":31.07039821069638,"cost":47460.31238258994,"materialsCost":0,"materialsRows":1,"sourceRows":1,"sourceKeys":["auto-00bea9a3"],"stableKey":"auto-b09f22d6","rate":578.22018009978,"scheduledQuantity":0,"scheduledCost":0,"quantityVariance":-82.08,"scheduleRows":0},{"code":"KQ-67-03","name":"Устройство стяжки или цементно-стружечных плит на кровле, м2","unit":"ед.","quantity":238,"laborHours":619.7481512708847,"machineHours":30.980873346766458,"cost":47025.36842586583,"materialsCost":0,"materialsRows":2,"sourceRows":2,"sourceKeys":["auto-b61159fe","auto-b7115b91"],"stableKey":"auto-b19f2469","rate":197.585581621285,"scheduledQuantity":0,"scheduledCost":0,"quantityVariance":-238,"scheduleRows":0},{"code":"KQ-57-01","name":"Монтаж малых силовых шкафов, шт.","unit":"ед.","quantity":120,"laborHours":630.7428767868842,"machineHours":40.557573110526576,"cost":40597.454903962374,"materialsCost":0,"materialsRows":2,"sourceRows":2,"sourceKeys":["auto-dc820892","auto-9d06b28e"],"stableKey":"auto-8b4d8c02","rate":338.3121241996865,"scheduledQuantity":2,"scheduledCost":676.624248399373,"quantityVariance":-118,"scheduleRows":1},{"code":"KQ-71-04","name":"Устройство асфальтобетонных покрытий, м2","unit":"ед.","quantity":566.8,"laborHours":228.68293846933594,"machineHours":141.9104187677778,"cost":39469.50985036055,"materialsCost":0,"materialsRows":1,"sourceRows":1,"sourceKeys":["auto-82269fb3"],"stableKey":"auto-4649e6ed","rate":69.63569133796851,"scheduledQuantity":0,"scheduledCost":0,"quantityVariance":-566.8,"scheduleRows":0},{"code":"KQ-62-02","name":"Монтаж вентиляционных клапанов и заслонок, шт.","unit":"ед.","quantity":162,"laborHours":519.6869663993226,"machineHours":60.84095708417986,"cost":36335.17970686599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224.29123275843202,"scheduledQuantity":2,"scheduledCost":448.58246551686403,"quantityVariance":-160,"scheduleRows":1},{"code":"KQ-56-02","name":"Монтаж осветительных приборов внутреннего исполнения (штучные), шт.","unit":"ед.","quantity":890,"laborHours":532.272446817882,"machineHours":28.3651918440076,"cost":33470.83132096814,"materialsCost":0,"materialsRows":5,"sourceRows":5,"sourceKeys":["auto-32e97e58","auto-35e98311","auto-34e9817e","auto-b8315957","auto-b73157c4"],"stableKey":"auto-c23587de","rate":37.607675641537234,"scheduledQuantity":0,"scheduledCost":0,"quantityVariance":-890,"scheduleRows":0},{"code":"KQ-67-07","name":"Устройство кровельной водосточной системы, м","unit":"ед.","quantity":268,"laborHours":404.6223446309326,"machineHours":20.045811800587895,"cost":30620.157603612064,"materialsCost":0,"materialsRows":4,"sourceRows":4,"sourceKeys":["auto-2d6dce7d","auto-2a70085b","auto-297006c8","auto-2c700b81"],"stableKey":"auto-b59f2ab5","rate":114.25431941646292,"scheduledQuantity":0,"scheduledCost":0,"quantityVariance":-268,"scheduleRows":0},{"code":"KQ-64-01","name":"Монтаж пластиковых трубопроводов внутренних инженерных сетей, м","unit":"ед.","quantity":126,"laborHours":515.1418063472973,"machineHours":17.157555718222426,"cost":30475.016556803308,"materialsCost":0,"materialsRows":1,"sourceRows":1,"sourceKeys":["auto-f9b5820b"],"stableKey":"auto-ef574110","rate":241.86521076828024,"scheduledQuantity":84,"scheduledCost":20316.67770453554,"quantityVariance":-42,"scheduleRows":1},{"code":"KQ-33-08","name":"Резьбовые соединения технологических трубопроводов, DI","unit":"ед.","quantity":192,"laborHours":351.4149027442995,"machineHours":14.163732388430883,"cost":29099.150834415464,"materialsCost":0,"materialsRows":2,"sourceRows":2,"sourceKeys":["auto-69dc0905","auto-458e6e97"],"stableKey":"auto-d5598db3","rate":151.55807726258055,"scheduledQuantity":0,"scheduledCost":0,"quantityVariance":-192,"scheduleRows":0},{"code":"KQ-19-05","name":"Монтаж запорно-регулирующей арматуры наружн. инженерных сетей, шт.","unit":"ед.","quantity":10,"laborHours":488.3473673284151,"machineHours":11.465306613214084,"cost":28179.429820844038,"materialsCost":0,"materialsRows":2,"sourceRows":2,"sourceKeys":["auto-aa9f77ce","auto-ea50e7cc"],"stableKey":"auto-7a9cc3a4","rate":2817.942982084404,"scheduledQuantity":0,"scheduledCost":0,"quantityVariance":-10,"scheduleRows":0},{"code":"KQ-60-05","name":"Монтаж оборудования видеонаблюдения, шт.","unit":"ед.","quantity":102,"laborHours":390.34131990591806,"machineHours":43.82523595207009,"cost":27643.931827178625,"materialsCost":0,"materialsRows":4,"sourceRows":4,"sourceKeys":["auto-98bc5192","auto-99bc5325","auto-562fadb4","auto-572faf47"],"stableKey":"auto-6d1d76e8","rate":271.01893948214337,"scheduledQuantity":0,"scheduledCost":0,"quantityVariance":-102,"scheduleRows":0},{"code":"KQ-62-03","name":"Монтаж оконечных устройств воздухораспределения, шт.","unit":"ед.","quantity":96,"laborHours":443.43474113558034,"machineHours":19.487920190043017,"cost":26204.13200306044,"materialsCost":0,"materialsRows":3,"sourceRows":3,"sourceKeys":["auto-7ca60806","auto-1bffc68b","auto-12ffb860"],"stableKey":"auto-3e9358b8","rate":272.9597083652129,"scheduledQuantity":0,"scheduledCost":0,"quantityVariance":-96,"scheduleRows":0},{"code":"KQ-27-03","name":"Монтаж динамического колонного и емкостного оборудования, т","unit":"ед.","quantity":21.8,"laborHours":270.7972041478084,"machineHours":24.707035888626123,"cost":25533.942594410863,"materialsCost":0,"materialsRows":1,"sourceRows":1,"sourceKeys":["auto-52173cf1"],"stableKey":"auto-b25870e5","rate":1171.2817703858193,"scheduledQuantity":24.72,"scheduledCost":28954.08536393745,"quantityVariance":2.919999999999998,"scheduleRows":1},{"code":"KQ-43-01","name":"Изоляция запорной арматуры термочехлами, шт.","unit":"ед.","quantity":124,"laborHours":455.28113031348545,"machineHours":18.094317621618003,"cost":23847.03880653988,"materialsCost":0,"materialsRows":4,"sourceRows":4,"sourceKeys":["auto-d2741cb9","auto-d1741b26","auto-d0741993","auto-cf741800"],"stableKey":"auto-955630b1","rate":192</t>
        </is>
      </c>
    </row>
    <row r="6">
      <c r="A6" t="inlineStr">
        <is>
          <t xml:space="preserve">.31482908499905,"scheduledQuantity":0,"scheduledCost":0,"quantityVariance":-124,"scheduleRows":0},{"code":"KQ-38-05","name":"Опознавательная окраска трубопроводов и оборудования, м2","unit":"ед.","quantity":77.11999999999999,"laborHours":319.31372255580925,"machineHours":45.219613012735245,"cost":22008.844855180654,"materialsCost":0,"materialsRows":1,"sourceRows":1,"sourceKeys":["auto-13f0f208"],"stableKey":"auto-75d4896f","rate":285.38439905576575,"scheduledQuantity":0,"scheduledCost":0,"quantityVariance":-77.11999999999999,"scheduleRows":0},{"code":"KQ-49-05","name":"Расключение силового кабеля от 1 до 35 кВ, шт. (конец кабеля)","unit":"ед.","quantity":26.400000000000002,"laborHours":279.9153721758509,"machineHours":14.473677345998482,"cost":17542.247290225918,"materialsCost":0,"materialsRows":3,"sourceRows":3,"sourceKeys":["auto-8654cf8b","auto-8554cdf8","auto-d3f50c72"],"stableKey":"auto-fe5037f7","rate":664.4790640237089,"scheduledQuantity":0,"scheduledCost":0,"quantityVariance":-26.400000000000002,"scheduleRows":0},{"code":"KQ-20-03","name":"Протаскивание труб в футляр, м","unit":"ед.","quantity":60,"laborHours":197.3295207641031,"machineHours":32.67608538796379,"cost":15213.952957579131,"materialsCost":0,"materialsRows":2,"sourceRows":2,"sourceKeys":["auto-961d088d","auto-871cf0f0"],"stableKey":"auto-671c46ae","rate":253.56588262631885,"scheduledQuantity":10.2,"scheduledCost":2586.372002788452,"quantityVariance":-49.8,"scheduleRows":1},{"code":"KQ-67-08","name":"Устройство перильного ограждения кровли, м","unit":"ед.","quantity":98.04,"laborHours":148.78334291764563,"machineHours":7.371028641312094,"cost":11259.312466013249,"materialsCost":0,"materialsRows":1,"sourceRows":1,"sourceKeys":["auto-3b0f076c"],"stableKey":"auto-b69f2c48","rate":114.84406840078792,"scheduledQuantity":0,"scheduledCost":0,"quantityVariance":-98.04,"scheduleRows":0},{"code":"KQ-46-01","name":"Монтаж пластиковых коробов, м","unit":"ед.","quantity":60,"laborHours":189.51562816182812,"machineHours":3.0241045133457733,"cost":11087.29192566751,"materialsCost":0,"materialsRows":1,"sourceRows":1,"sourceKeys":["auto-e78d183b"],"stableKey":"auto-af63b954","rate":184.7881987611252,"scheduledQuantity":0,"scheduledCost":0,"quantityVariance":-60,"scheduleRows":0},{"code":"KQ-46-03","name":"Монтаж полимерных труб и гофр, м","unit":"ед.","quantity":110,"laborHours":172.27041579546193,"machineHours":6.890451322486159,"cost":10802.87724289331,"materialsCost":0,"materialsRows":1,"sourceRows":1,"sourceKeys":["auto-04a77204"],"stableKey":"auto-b163bc7a","rate":98.20797493539372,"scheduledQuantity":0,"scheduledCost":0,"quantityVariance":-110,"scheduleRows":0},{"code":"KQ-03-26","name":"Демонтаж электроустановочных изделий и компонентов КИПиА и слаботочных систем, шт.","unit":"ед.","quantity":44,"laborHours":118.52652819469338,"machineHours":12.843675704062953,"cost":9538.749570706254,"materialsCost":0,"materialsRows":2,"sourceRows":2,"sourceKeys":["auto-13428eed","auto-63c0c585"],"stableKey":"auto-6c30e652","rate":216.78976297059668,"scheduledQuantity":10,"scheduledCost":2167.8976297059667,"quantityVariance":-34,"scheduleRows":1},{"code":"KQ-63-01","name":"Монтаж блочных тепловых пунктов, компл.","unit":"ед.","quantity":2,"laborHours":137.19670880580716,"machineHours":13.613740268634066,"cost":9230.060765016477,"materialsCost":0,"materialsRows":1,"sourceRows":1,"sourceKeys":["auto-b9f5eb76"],"stableKey":"auto-13f0be87","rate":4615.030382508238,"scheduledQuantity":0,"scheduledCost":0,"quantityVariance":-2,"scheduleRows":0},{"code":"KQ-48-03","name":"Монтаж и подключение патч-кордов, м","unit":"ед.","quantity":335,"laborHours":154.81502123735547,"machineHours":2.193199880775074,"cost":8920.165340078687,"materialsCost":0,"materialsRows":3,"sourceRows":3,"sourceKeys":["auto-7ceaf8b2","auto-a75dca99","auto-a85dcc2c"],"stableKey":"auto-3484a53c","rate":26.627359224115484,"scheduledQuantity":0,"scheduledCost":0,"quantityVariance":-335,"scheduleRows":0},{"code":"KQ-39-02","name":"Гидроизоляция подземных трубопроводов, м2","unit":"ед.","quantity":53.540000000000006,"laborHours":148.37059756198593,"machineHours":0.9500120615181169,"cost":7913.544713979527,"materialsCost":0,"materialsRows":2,"sourceRows":2,"sourceKeys":["auto-8bc28019","auto-88c27b60"],"stableKey":"auto-9498c2e7","rate":147.80621430667773,"scheduledQuantity":0,"scheduledCost":0,"quantityVariance":-53.540000000000006,"scheduleRows":0},{"code":"KQ-65-02","name":"Монтаж радиаторов, конвекторов и регистров, шт.","unit":"ед.","quantity":20,"laborHours":95.40794746413337,"machineHours":4.726703269170335,"cost":5716.999149227704,"materialsCost":0,"materialsRows":2,"sourceRows":2,"sourceKeys":["auto-99ce82fc","auto-98ce8169"],"stableKey":"auto-60b580d8","rate":285.8499574613852,"scheduledQuantity":0,"scheduledCost":0,"quantityVariance":-20,"scheduleRows":0},{"code":"KQ-03-12","name":"Демонтаж оборудования пожаротушения, шт.","unit":"ед.","quantity":40,"laborHours":44.66985093252578,"machineHours":12.359265370117404,"cost":5314.909839145483,"materialsCost":0,"materialsRows":2,"sourceRows":2,"sourceKeys":["auto-968f4f05","auto-b496a20c"],"stableKey":"auto-fa3881a1","rate":132.87274597863706,"scheduledQuantity":0,"scheduledCost":0,"quantityVariance":-40,"scheduleRows":0},{"code":"KQ-68-07","name":"Устройство декоративных фасадных конструкций, м2","unit":"ед.","quantity":8,"laborHours":37.45507945635122,"machineHours":3.2242351827415625,"cost":3453.2512167983095,"materialsCost":0,"materialsRows":1,"sourceRows":1,"sourceKeys":["auto-1fb5e4b9"],"stableKey":"auto-5c759e96","rate":431.6564020997887,"scheduledQuantity":0,"scheduledCost":0,"quantityVariance":-8,"scheduleRows":0},{"code":"KQ-03-01","name":"Демонтаж элементов металлоконструкций, т","unit":"ед.","quantity":0.64,"laborHours":13.631875695595367,"machineHours":10.556873937497972,"cost":3174.115644028948,"materialsCost":0,"materialsRows":2,"sourceRows":2,"sourceKeys":["auto-2b0c4c72","auto-0a5c1232"],"stableKey":"auto-73356e85","rate":4959.555693795231,"scheduledQuantity":3.2,"scheduledCost":15870.578220144738,"quantityVariance":2.56,"scheduleRows":1},{"code":"KQ-71-10","name":"Устройство элементов обеспечения БДД, шт.","unit":"ед.","quantity":10,"laborHours":41.78532223198624,"machineHours":4.140259264491857,"cost":2661.2718889142398,"materialsCost":0,"materialsRows":1,"sourceRows":1,"sourceKeys":["auto-5945cb9a"],"stableKey":"auto-bc46cf18","rate":266.127188891424,"scheduledQuantity":0,"scheduledCost":0,"quantityVariance":-10,"scheduleRows":0},{"code":"KQ-03-18","name":"Демонтаж элементов воздухозабора и воздухораспредения, шт.","unit":"ед.","quantity":10,"laborHours":22.203426351118075,"machineHours":3.810283714088747,"cost":2108.125063002731,"materialsCost":0,"materialsRows":2,"sourceRows":2,"sourceKeys":["auto-0932526e","auto-0a325401"],"stableKey":"auto-f03871e3","rate":210.81250630027313,"scheduledQuantity":14,"scheduledCost":2951.375088203824,"quantityVariance":4,"scheduleRows":1},{"code":"KQ-03-16","name":"Демонтаж отопительных приборов, шт.","unit":"ед.","quantity":4,"laborHours":9.882357744216229,"machineHours":1.5241134856354988,"cost":898.9943085660108,"materialsCost":0,"materialsRows":1,"sourceRows":1,"sourceKeys":["auto-027c78ad"],"stableKey":"auto-fe3887ed","rate":224.7485771415027,"scheduledQuantity":4,"scheduledCost":898.9943085660108,"quantityVariance":0,"scheduleRows":1},{"code":"KQ-97-16","name":"Заправка систем тепло/холодоснабжения рабочими средами, кг","unit":"ед.","quantity":20,"laborHours":8.01569985335621,"machineHours":2.4813165237708903,"cost":788.8167216885331,"materialsCost":0,"materialsRows":1,"sourceRows":1,"sourceKeys":["auto-3be2e86e"],"stableKey":"auto-b7abee32","rate":39.44083608442666,"scheduledQuantity":0,"scheduledCost":0,"quantityVariance":-20,"scheduleRows":0},{"code":"KQ-44-01","name":"Монтаж вспомогательных опорных металлоконструкций для кабеленесущих систем и оборудования ЭОМ и КИПиА, т","unit":"ед.","quantity":0.02,"laborHours":5.911893883744817,"machineHours":0.23646321883853258,"cost":370.7279837005503,"materialsCost":0,"materialsRows":1,"sourceRows":1,"sourceKeys":["auto-28b7aeaa"],"stableKey":"auto-f2333d7e","rate":18536.399185027512,"scheduledQuantity":3.78,"scheduledCost":70067.58891940399,"quantityVariance":3.76,"scheduleRows":1},{"code":"KQ-03-14","name":"Демонтаж ЗРА и встраиваемых линейных элементов, шт.","unit":"ед.","quantity":2,"laborHours":1.8927902937510925,"machineHours":0.5914656092131223,"cost":240.71047677873696,"materialsCost":0,"materialsRows":1,"sourceRows":1,"sourceKeys":["auto-567bbb1c"],"stableKey":"auto-fc3884c7","rate":120.35523838936848,"scheduledQuantity":2,"scheduledCost":240.71047677873696,"quantityVariance":0,"scheduleRows":1},{"code":"KQ-03-17","name":"Демонтаж воздуховодов, м2","unit":"ед.","quantity":8,"laborHours":3.2222861960818596,"machineHours":0.030482269712709977,"cost":186.41993730709888,"materialsCost":0,"materialsRows":1,"sourceRows":1,"sourceKeys":["auto-9af8d3e1"],"stableKey":"auto-fd38865a","rate":23.30249216338736,"scheduledQuantity":267.08,"scheduledCost":6223.629606997496,"quantityVariance":259.08,"scheduleRows":1},{"code":"KQ-03-27","name":"Демонтаж изоляции, м2","unit":"ед.","quantity":1.2,"laborHours":2.6830302413921734,"machineHours":0.014195174621114935,"cost":152.6633490652275,"materialsCost":0,"materialsRows":1,"sourceRows":1,"sourceKeys":["auto-7e093fb4"],"stableKey":"auto-6d30e7e5","rate":127.21945755435625,"scheduledQuantity":0.62,"scheduledCost":78.87606368370088,"quantityVariance":-0.58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override","scheduledQuantity":221.8,"scheduledCost":1197443.1378535752,"quantityVariance":110.9,"scheduleRows":1},{"code":"KQ-37-02","name":"ОГЗ металлоконструкций (окрасочная), м2","unit":"ед.","quantity":3385.122,"laborHours":43311.947624,"machineHours":5744.397529999999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override","scheduledQuantity":9329.9,"scheduledCost":7804185.787485001,"quantityVariance":5944.778,"scheduleRows":1},{"code":"KQ-26-04","name":"HeavyLift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1650.18,"scheduledCost":354453.24628158694,"quantityVariance":-5583.82,"scheduleRows":3}]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-16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-09-02":[790300,203220,135480,0,0,0,0,0,0,0,0,0],"KQ-10-01":[50282.623999999996,44628.24799999999,139382.69799999997,165811.436,78654.548,34081.348,6968.835999999999,10368.147999999997,8463.826,19452.131999999994,56196.09799999999,15914.933999999997],"KQ-12-01":[75883.75,29182,55735.5,56290.5,71636.75,25069.5,16972.75,4549.25,2400.25,21924.25,24392,8494.5],"KQ-12-02":[1180704.5,857768,711183,497786,279024.5,294589.5,233798.5,103582.5,43978,50580.49999999999,184765.5,88664.5],"KQ-12-03":[0,0,0,0,0,0,0,5337.5,10612.5,5408.5,3799.75,792.75],"KQ-13-01":[56612.5,405070,539905,438333,167551,400875.5,98569,61085.00000000001,165809.99999999997,107690.5,60170,16814.5],"KQ-16-01":[0,0,0,0,944.9999999999999,243,162,54652.5,116166,101199,122723.99999999999,124838.99999999999],"KQ-18-02":[0,0,0,0,223.125,57.375,38.25,535.5,844.2625,273.4875,1749.9375,418.8375],"KQ-20-02":[0,0,0,0,0,0,0,0,0,1160.2499999999998,298.34999999999997,198.89999999999998],"KQ-20-03":[0,0,0,0,0,0,0,0,0,1160.2499999999998,298.34999999999997,198.89999999999998],"KQ-22-01":[0,0,0,0,0,0,0,0,0,0,0,0],"KQ-22-02":[0,0,0,0,0,0,0,0,0,0,0,0],"KQ-22-03":[0,0,0,0,0,0,0,0,0,0,0,0],"KQ-23-01":[0,0,0,0,0,0,0,0,0,0,0,0],"KQ-24-01":[0,0,0,0,0,0,0,0,0,0,0,0],"KQ-25-01":[0,0,0,0,0,0,0,0,0,253114.4,87482.36,49149.96],"KQ-26-01":[0,0,0,0,0,0,0,0,0,0,0,0],"KQ-27-02":[0,0,0,0,0,0,0,0,0,0,0,0],"KQ-27-03":[0,0,0,0,0,0,0,0,0,0,0,0],"KQ-27-04":[0,0,0,0,0,0,0,0,0,0,0,0],"KQ-27-05":[0,0,0,0,0,0,0,0,0,0,0,0],"KQ-27-13":[0,0,0,0,0,0,0,0,0,0,0,0],"KQ-27-14":[0,0,0,0,0,0,0,0,0,0,0,0],"KQ-27-19":[0,0,0,0,0,0,0,0,0,0,0,0],"KQ-32-01":[0,0,0,0,0,0,0,0,0,0,0,0],"KQ-33-01":[0,0,0,0,0,0,0,0,0,0,0,0],"KQ-33-06":[0,0,0,0,0,0,0,0,0,0,0,0],"KQ-34-03":[0,0,0,0,0,0,0,0,0,0,0,0],"KQ-35-01":[0,0,0,0,0,0,0,0,0,0,0,0],"KQ-37-02":[0,0,0,0,0,0,0,0,0,0,0,0],"KQ-38-02":[0,0,0,0,0,0,0,29453.76,43827.804,29393.388,10077.696,2575.152],"KQ-38-03":[0,0,0,0,0,0,0,274.04999999999995,70.47,46.98,50205.01499999999,12909.860999999999],"KQ-44-01":[0,0,0,0,0,0,0,0,0,0,0,0],"KQ-45-01":[0,0,0,0,0,0,0,0,0,0,0,0],"KQ-46-02":[0,0,0,0,0,0,0,0,0,0,3782.7999999999997,8537.619999999999],"KQ-48-01":[0,0,0,0,0,0,0,0,0,0,0,0],"KQ-48-04":[0,0,0,0,0,0,0,0,0,0,0,0],"KQ-49-01":[0,0,0,0,0,0,0,0,0,0,0,0],"KQ-49-04":[0,0,0,0,0,0,0,0,0,0,0,0],"KQ-51-01":[0,0,0,0,0,0,0,0,0,0,393.48749999999995,600.1949999999999],"KQ-51-02":[0,0,0,875,225,150,1855.0874999999999,7237.6224999999995,4208.255,2403.5299999999997,2072.1925,1416.85],"KQ-57-01":[0,0,0,0,0,0,0,0,0,0,0,0],"KQ-57-03":[0,0,0,0,0,0,0,0,0,0,0,0],"KQ-58-01":[0,0,0,0,0,0,0,0,0,0,0,0],"KQ-59-02":[0,0,0,0,0,0,0,0,0,0,0,0],"KQ-60-01":[0,0,0,0,0,0,0,0,0,0,0,0],"KQ-62-01":[0,0,0,0,0,0,0,0,0,0,0,9531.199999999999],"KQ-62-02":[0,0,0,0,0,0,0,0,0,0,0,0],"KQ-64-01":[0,0,0,0,0,0,0,0,0,735,189,126],"KQ-69-01":[0,0,0,0,6293,10711.2,37024,49862.600000000006,77153.99999999999,25096.8,12388.199999999999,4978.8],"KQ-69-02":[0,0,0,0,0,0,0,0,0,0,0,2922.325],"KQ-69-03":[0,0,0,68.07499999999999,17.505,11.67,0,0,1753.675,16664.345,13722.564999999999,9840.499999999998],"KQ-71-01":[0,0,0,0,0,0,0,0,0,6783.2625,23830.020000000004,6842.038500000001],"KQ-71-02":[0,0,0,0,0,0,0,9.45,2.4299999999999997,14356.695,50401.604999999996,14472.09],"KQ-71-03":[0,0,0,0,0,0,0,0,0,91752.5,521739.7499999999,338380]},"primaryMonthsWithDocuments":[false,false,false,false,false,false,false,false,false,false,false,false],"primaryIdentityConfirmed":false,"paymentActualMonths":[false,false,false,false,false,false,false,false,false,false,false,false],"cashFlowBasis":"source_model","revenueBasis":"ksg","savedModel":{"inputKey":"{\"id\":\"v_mugvk5ls02v0\",\"name\":\"Без исходных данных\",\"created\":\"2026-09-25\",\"year\":2026,\"currency\":\"USD\",\"fxRate\":80,\"dataMode\":\"source_partial\",\"parameters\":{\"payroll\":{\"value\":3750,\"method\":\"monthly\",\"enabled\":true,\"lag\":0,\"cash\":true,\"vat\":false,\"rateCurrency\":\"USD\",\"rateBasis\":\"\",\"rateSource\":\"\"},\"payrollTax\":{\"value\":0,\"method\":\"rate\",\"enabled\":false,\"lag\":0,\"cash\":true,\"vat\":false,\"rateCurrency\":\"\",\"rateBasis\":\"\",\"rateSource\":\"\"},\"insurance\":{\"value\":0,\"method\":\"rate\",\"enabled\":false,\"lag\":0,\"cash\":true,\"vat\":false,\"rateCurrency\":\"\",\"rateBasis\":\"\",\"rateSource\":\"\"},\"vacation\":{\"value\":0,\"method\":\"rate\",\"enabled\":false,\"lag\":0,\"cash\":false,\"vat\":false,\"rateCurrency\":\"\",\"rateBasis\":\"\",\"rateSource\":\"\"},\"subcontract\":{\"value\":0,\"method\":\"percentRevenue\",\"enabled\":false,\"lag\":0,\"cash\":true,\"vat\":true,\"rateCurrency\":\"\",\"rateBasis\":\"\",\"rateSource\":\"\"},\"equipment\":{\"value\":0,\"method\":\"unit\",\"enabled\":false,\"lag\":0,\"cash\":true,\"vat\":true,\"rateCurrency\":\"\",\"rateBasis\":\"\",\"rateSource\":\"\"},\"scaffolding\":{\"value\":0,\"method\":\"manual\",\"enabled\":false,\"lag\":0,\"cash\":true,\"vat\":true,\"rateCurrency\":\"\",\"rateBasis\":\"\",\"rateSource\":\"\"},\"scaffoldLabor\":{\"value\":0,\"method\":\"unit\",\"enabled\":false,\"lag\":0,\"cash\":true,\"vat\":true,\"rateCurrency\":\"\",\"rateBasis\":\"\",\"rateSource\":\"\"},\"projectMaterials\":{\"value\":0,\"method\":\"materials\",\"enabled\":false,\"lag\":0,\"cash\":true,\"vat\":true,\"rateCurrency\":\"\",\"rateBasis\":\"\",\"rateSource\":\"\"},\"consumables\":{\"value\":0,\"method\":\"percentPayroll\",\"enabled\":false,\"lag\":0,\"cash\":true,\"vat\":true,\"rateCurrency\":\"\",\"rateBasis\":\"\",\"rateSource\":\"\"},\"nrk\":{\"value\":0,\"method\":\"unit\",\"enabled\":false,\"lag\":0,\"cash\":true,\"vat\":true,\"rateCurrency\":\"\",\"rateBasis\":\"\",\"rateSource\":\"\"},\"otherDirect\":{\"value\":0,\"method\":\"manual\",\"enabled\":false,\"lag\":0,\"cash\":true,\"vat\":true,\"rateCurrency\":\"\",\"rateBasis\":\"\",\"rateSource\":\"\"},\"indirectPayroll\":{\"value\":0,\"method\":\"monthly\",\"enabled\":false,\"lag\":0,\"cash\":true,\"vat\":false,\"rateCurrency\":\"\",\"rateBasis\":\"\",\"rateSource\":\"\"},\"indirectTax\":{\"value\":0,\"method\":\"rate\",\"enabled\":false,\"lag\":0,\"cash\":true,\"vat\":false,\"rateCurrency\":\"\",\"rateBasis\":\"\",\"rateSource\":\"\"},\"indirectInsurance\":{\"value\":0,\"method\":\"rate\",\"enabled\":false,\"lag\":0,\"cash\":true,\"vat\":false,\"rateCurrency\":\"\",\"rateBasis\":\"\",\"rateSource\":\"\"},\"indirectVacation\":{\"value\":0,\"method\":\"rate\",\"enabled\":false,\"lag\":0,\"cash\":false,\"vat\":false,\"rateCurrency\":\"\",\"rateBasis\":\"\",\"rateSource\":\"\"},\"food\":{\"value\":0,\"method\":\"day\",\"enabled\":false,\"lag\":0,\"cash\":true,\"vat\":true,\"rateCurrency\":\"\",\"rateBasis\":\"\",\"rateSource\":\"\"},\"housing\":{\"value\":0,\"method\":\"day\",\"enabled\":false,\"lag\":0,\"cash\":true,\"vat\":true,\"rateCurrency\":\"\",\"rateBasis\":\"\",\"rateSource\":\"\"},\"bus\":{\"value\":0,\"method\":\"unit\",\"enabled\":false,\"lag\":0,\"cash\":true,\"vat\":true,\"rateCurrency\":\"\",\"rateBasis\":\"\",\"rateSource\":\"\"},\"car\":{\"value\":0,\"method\":\"unit\",\"enabled\":false,\"lag\":0,\"cash\":true,\"vat\":true,\"rateCurrency\":\"\",\"rateBasis\":\"\",\"rateSource\":\"\"},\"formwork\":{\"value\":0,\"method\":\"manual\",\"enabled\":false,\"lag\":0,\"cash\":true,\"vat\":true,\"rateCurrency\":\"\",\"rateBasis\":\"\",\"rateSource\":\"\"},\"ppe\":{\"value\":0,\"method\":\"annualPerPerson\",\"enabled\":false,\"lag\":0,\"cash\":true,\"vat\":true,\"rateCurrency\":\"\",\"rateBasis\":\"\",\"rateSource\":\"\"},\"tickets\":{\"value\":0,\"method\":\"rotation\",\"enabled\":false,\"lag\":0,\"cash\":true,\"vat\":true,\"rateCurrency\":\"\",\"rateBasis\":\"\",\"rateSource\":\"\"},\"permit\":{\"value\":0,\"method\":\"perPerson\",\"enabled\":false,\"lag\":0,\"cash\":true,\"vat\":true,\"rateCurrency\":\"\",\"rateBasis\":\"\",\"rateSource\":\"\"},\"medical\":{\"value\":0,\"method\":\"perPerson\",\"enabled\":false,\"lag\":0,\"cash\":true,\"vat\":true,\"rateCurrency\":\"\",\"rateBasis\":\"\",\"rateSource\":\"\"},\"vziz\":{\"value\":0,\"method\":\"annualPerPerson\",\"enabled\":false,\"lag\":0,\"cash\":true,\"vat\":true,\"rateCurrency\":\"\",\"rateBasis\":\"\",\"rateSource\":\"\"},\"office\":{\"value\":0,\"method\":\"monthly\",\"enabled\":false,\"lag\":0,\"cash\":true,\"vat\":true,\"rateCurrency\":\"\",\"rateBasis\":\"\",\"rateSource\":\"\"},\"warehouse\":{\"value\":0,\"method\":\"monthly\",\"enabled\":false,\"lag\":0,\"cash\":true,\"vat\":true,\"rateCurrency\":\"\",\"rateBasis\":\"\",\"rateSource\":\"\"},\"internet\":{\"value\":0,\"method\":\"monthly\",\"enabled\":false,\"lag\":0,\"cash\":true,\"vat\":true,\"rateCurrency\":\"\",\"rateBasis\":\"\",\"rateSource\":\"\"},\"waste\":{\"value\":0,\"method\":\"monthly\",\"enabled\":false,\"lag\":0,\"cash\":true,\"vat\":true,\"rateCurrency\":\"\",\"rateBasis\":\"\",\"rateSource\":\"\"},\"safety\":{\"value\":0,\"method\":\"percentPayroll\",\"enabled\":false,\"lag\":0,\"cash\":true,\"vat\":true,\"rateCurrency\":\"\",\"rateBasis\":\"\",\"rateSource\":\"\"},\"accident\":{\"value\":0,\"method\":\"annualPerPerson\",\"enabled\":false,\"lag\":0,\"cash\":true,\"vat\":true,\"rateCurrency\":\"\",\"rateBasis\":\"\",\"rateSource\":\"\"},\"it\":{\"value\":0,\"method\":\"manual\",\"enabled\":false,\"lag\":0,\"cash\":true,\"vat\":true,\"rateCurrency\":\"\",\"rateBasis\":\"\",\"rateSource\":\"\"},\"containers\":{\"value\":0,\"method\":\"manual\",\"enabled\":false,\"lag\":0,\"cash\":true,\"vat\":true,\"rateCurrency\":\"\",\"rateBasis\":\"\",\"rateSource\":\"\"},\"modularOffice\":{\"value\":0,\"method\":\"manual\",\"enabled\":false,\"lag\":0,\"cash\":true,\"vat\":true,\"rateCurrency\":\"\",\"rateBasis\":\"\",\"rateSource\":\"\"},\"transport\":{\"value\":0,\"method\":\"manual\",\"enabled\":false,\"lag\":0,\"cash\":true,\"vat\":true,\"rateCurrency\":\"\",\"rateBasis\":\"\",\"rateSource\":\"\"},\"otherIndirect\":{\"value\":0,\"method\":\"percentDirect\",\"enabled\":false,\"lag\":0,\"cash\":true,\"vat\":true,\"rateCurrency\":\"\",\"rateBasis\":\"\",\"rateSource\":\"\"}},\"drivers\":{\"physicalVolume\":[8880.160000000002,7032.24,10582.28,9278.360000000002,4727.799999999999,6371.719999999999,2176.54,7165.499999999999,6542.160000000001,19045.679999999997,59445.10000000001,59872.15999999999],\"boqRate\":[0,0,0,0,0,0,0,0,0,0,0,0],\"revenue\":[0,0,0,0,0,0,0,0,0,0,0,0],\"otherRevenue\":[0,0,0,0,0,0,0,0,0,0,0,0],\"materials\":[0,0,0,0,0,0,0,0,0,0,0,0],\"directPeople\":[0,0,0,0,0,0,0,0,0,0,0,0],\"auxiliaryPeople\":[0,0,0,0,0,0,0,0,0,0,0,0],\"indirectPeople\":[0,0,0,0,0,0,0,0,0,0,0,0],\"laborIntensity\":[0,0,0,0,0,0,0,0,0,0,0,0],\"sourceDays\":[0,0,0,0,0,0,0,0,0,0,0,0],\"passivePeople\":[0,0,0,0,0,0,0,0,0,0,0,0],\"scaffoldPeople\":[0,0,0,0,0,0,0,0,0,0,0,0],\"equipmentHours\":[0,0,0,0,0,0,0,0,0,0,0,0],\"nrkVolume\":[0,0,0,0,0,0,0,0,0,0,0,0],\"payments\":[0,0,0,0,0,0,0,0,0,0,0,0],\"advances\":[0,0,0,0,0,0,0,0,0,0,0,0],\"advanceOffset\":[0,0,0,0,0,0,0,0,0,0,0,0],\"factoring\":[0,0,0,0,0,0,0,0,0,0,0,0],\"ksgRevenue\":[6009188.245655865,6326310.065261915,7192962.040909068,7719049.553621543,5505821.553424569,9987823.64153884,6691447.283210083,5821714.1066337265,7166557.134399284,10354368.854407901,15683364.331498714,14091759.611429863],\"ksgMaterialsRevenue\":[2153783.374,1539868.2479999997,1581686.1979999999,1159164.011,604570.4280000001,765789.0929999999,395388.4235,326947.8805,475291.4724999999,749195.7699999999,1230678.6764999996,718619.413],\"ks2Accepted\":[831903.5372417906,5500703.147450478,6294597.88330131,7106296.843344353,7666440.802350296,5727144.353444267,9539623.432727411,7021084.919042958,5908687.424291363,7032072.831622728,10035587.68240704,15150464.783789633],\"primaryExecuted\":[0,0,0,0,0,0,0,0,0,0,0,0],\"primaryDeductions\":[0,0,0,0,0,0,0,0,0,0,0,0],\"primaryAdvanceOffset\":[0,0,0,0,0,0,0,0,0,0,0,0],\"primaryGuaranteeHold\":[0,0,0,0,0,0,0,0,0,0,0,0],\"paymentVat\":[0,0,0,0,0,0,0,0,0,0,0,0],\"advanceVat\":[0,0,0,0,0,0,0,0,0,0,0,0]},\"workItems\":[{\"sourceKind\":\"ksg\",\"sourceRow\":5,\"sourceKey\":\"auto-354faac6\",\"workId\":\"\",\"name\":\"Демонтаж дорог, площадок и тротуаров\",\"unit\":\"м3\",\"kq1\":\"\",\"kq2\":\"KQ-01-01\",\"stableKey\":\"auto-c2627ef2\",\"plannedQuantity\":4512.92,\"scheduleQuantity\":3792.62,\"volumes\":[321.64,58.48,104.7,190.04,66.56,40.02,13.48,286.06,892.3,549.8,1198.24,71.3],\"matchRule\":\"exact\",\"matchConfidence\":1,\"contractRate\":360.398813535099,\"currentRate\":0,\"actualRate\":0,\"rate\":360.398813535099},{\"sourceKind\":\"ksg\",\"sourceRow\":8,\"sourceKey\":\"auto-d3ba77bf\",\"workId\":\"\",\"name\":\"Демонтаж элементов металлоконструкций\",\"unit\":\"т\",\"kq1\":\"\",\"kq2\":\"KQ-03-01\",\"stableKey\":\"auto-18aa5086\",\"plannedQuantity\":41.5,\"scheduleQuantity\":3.2,\"volumes\":[0,0,0,0,0,0.28,0,0,0.32,0,0,2.6],\"matchRule\":\"exact\",\"matchConfidence\":1,\"contractRate\":4959.555693795231,\"currentRate\":0,\"actualRate\":0,\"rate\":4959.555693795231},{\"sourceKind\":\"ksg\",\"sourceRow\":10,\"sourceKey\":\"auto-1e17fbd2\",\"workId\":\"\",\"name\":\"Демонтаж кровельных покрытий\",\"unit\":\"м2\",\"kq1\":\"\",\"kq2\":\"KQ-111-11\",\"stableKey\":\"auto-736d9865\",\"plannedQuantity\":12891.5,\"scheduleQuantity\":73.64,\"volumes\":[0,0,0,73.64,0,0,0,0,0,0,0,0],\"matchRule\":\"exact\",\"matchConfidence\":1,\"contractRate\":214.7967168924523,\"currentRate\":0,\"actualRate\":0,\"rate\":214.7967168924523},{\"sourceKind\":\"ksg\",\"sourceRow\":12,\"sourceKey\":\"auto-50b56ba7\",\"workId\":\"\",\"name\":\"Демонтаж легковозводимых перегородок\",\"unit\":\"м2\",\"kq1\":\"\",\"kq2\":\"KQ-111-11\",\"stableKey\":\"auto-d17fa40d\",\"plannedQuantity\":1549,\"scheduleQuantity\":1549,\"volumes\":[0,0,0,0,0,0,0,0,0,1549,0,0],\"matchRule\":\"exact\",\"matchConfidence\":1,\"contractRate\":214.7967168924523,\"currentRate\":0,\"actualRate\":0,\"rate\":214.7967168924523},{\"sourceKind\":\"ksg\",\"sourceRow\":13,\"sourceKey\":\"auto-d98dc6be\",\"workId\":\"\",\"name\":\"Демонтаж элементов заполнения проемов зданий и сооружений\",\"unit\":\"м2\",\"kq1\":\"\",\"kq2\":\"KQ-111-11\",\"stableKey\":\"auto-9b742e9b\",\"plannedQuantity\":27.54,\"scheduleQuantity\":27.54,\"volumes\":[0,0,0,8.64,0,0,0,0,0,18.9,0,0],\"matchRule\":\"exact\",\"matchConfidence\":1,\"contractRate\":214.7967168924523,\"currentRate\":0,\"actualRate\":0,\"rate\":214.7967168924523},{\"sourceKind\":\"ksg\",\"sourceRow\":14,\"sourceKey\":\"auto-eb2d111d\",\"workId\":\"\",\"name\":\"Демонтаж черновой отделки\",\"unit\":\"м2\",\"kq1\":\"\",\"kq2\":\"KQ-03-08\",\"stableKey\":\"auto-8868b569\",\"plannedQuantity\":1008.9,\"scheduleQuantity\":1008.9,\"volumes\":[0,0,0,0,0,0,0,0,0,1006.56,2.34,0],\"matchRule\":\"exact\",\"matchConfidence\":1,\"contractRate\":123.9962934310013,\"currentRate\":0,\"actualRate\":0,\"rate\":123.9962934310013},{\"sourceKind\":\"ksg\",\"sourceRow\":16,\"sourceKey\":\"auto-b1e30d56\",\"workId\":\"\",\"name\":\"Демонтаж инженерного и технологического оборудования\",\"unit\":\"т\",\"kq1\":\"\",\"kq2\":\"KQ-03-10\",\"stableKey\":\"auto-55c90949\",\"plannedQuantity\":143.2,\"scheduleQuantity\":0.6,\"volumes\":[0,0,0,0,0,0,0,0,0,0,0,0.6],\"matchRule\":\"exact\",\"matchConfidence\":1,\"contractRate\":14411.402896313515,\"currentRate\":0,\"actualRate\":0,\"rate\":14411.402896313515},{\"sourceKind\":\"ksg\",\"sourceRow\":17,\"sourceKey\":\"auto-362f0704\",\"workId\":\"\",\"name\":\"Демонтаж инженерных и технологических трубопроводов\",\"unit\":\"м\",\"kq1\":\"\",\"kq2\":\"KQ-03-13\",\"stableKey\":\"auto-cc0b3eae\",\"plannedQuantity\":6980.06,\"scheduleQuantity\":10,\"volumes\":[0,0,8.34,1.66,0,0,0,0,0,0,0,0],\"matchRule\":\"exact\",\"matchConfidence\":1,\"contractRate\":141.14832227563883,\"currentRate\":0,\"actualRate\":0,\"rate\":141.14832227563883},{\"sourceKind\":\"ksg\",\"sourceRow\":18,\"sourceKey\":\"auto-fb844880\",\"workId\":\"\",\"name\":\"Демонтаж ЗРА и встраиваемых линейных элементов\",\"unit\":\"шт.\",\"kq1\":\"\",\"kq2\":\"KQ-03-14\",\"stableKey\":\"auto-f276eeb9\",\"plannedQuantity\":608,\"scheduleQuantity\":2,\"volumes\":[0,0,0,0,0,0,0,0,0,0,0,2],\"matchRule\":\"exact\",\"matchConfidence\":1,\"contractRate\":120.35523838936848,\"currentRate\":0,\"actualRate\":0,\"rate\":120.35523838936848},{\"sourceKind\":\"ksg\",\"sourceRow\":19,\"sourceKey\":\"auto-25098f7e\",\"workId\":\"\",\"name\":\"Демонтаж отопительных приборов\",\"unit\":\"шт.\",\"kq1\":\"\",\"kq2\":\"KQ-03-16\",\"stableKey\":\"auto-0cb17892\",\"plannedQuantity\":8,\"scheduleQuantity\":4,\"volumes\":[0,0,3.34,0.66,0,0,0,0,0,0,0,0],\"matchRule\":\"exact\",\"matchConfidence\":1,\"contractRate\":224.7485771415027,\"currentRate\":0,\"actualRate\":0,\"rate\":224.7485771415027},{\"sourceKind\":\"ksg\",\"sourceRow\":20,\"sourceKey\":\"auto-423c47b3\",\"workId\":\"\",\"name\":\"Демонтаж воздуховодов\",\"unit\":\"м2\",\"kq1\":\"\",\"kq2\":\"KQ-03-17\",\"stableKey\":\"auto-89985a66\",\"plannedQuantity\":4826,\"scheduleQuantity\":267.08,\"volumes\":[0,0,6.66,1.34,0,0,0,0,0,0,0,259.08],\"matchRule\":\"exact\",\"matchConfidence\":1,\"contractRate\":23.30249216338736,\"currentRate\":0,\"actualRate\":0,\"rate\":23.30249216338736},{\"sourceKind\":\"ksg\",\"sourceRow\":21,\"sourceKey\":\"auto-f0e34c47\",\"workId\":\"\",\"name\":\"Демонтаж элементов воздухозабора и воздухораспредения\",\"unit\":\"шт.\",\"kq1\":\"\",\"kq2\":\"KQ-03-18\",\"stableKey\":\"auto-e1428e17\",\"plannedQuantity\":466,\"scheduleQuantity\":14,\"volumes\":[0,0,8.34,1.66,0,0,0,0,0,0,0,4],\"matchRule\":\"exact\",\"matchConfidence\":1,\"contractRate\":210.81250630027313,\"currentRate\":0,\"actualRate\":0,\"rate\":210.81250630027313},{\"sourceKind\":\"ksg\",\"sourceRow\":23,\"sourceKey\":\"auto-1a39258f\",\"workId\":\"\",\"name\":\"Демонтаж кабелей и проводов\",\"unit\":\"м\",\"kq1\":\"\",\"kq2\":\"KQ-03-25\",\"stableKey\":\"auto-5c698f34\",\"plannedQuantity\":88228,\"scheduleQuantity\":9780.48,\"volumes\":[0,0,150,30,0,0,0,0,0,0,0,9600.48],\"matchRule\":\"exact\",\"matchConfidence\":1,\"contractRate\":13.44387804297205,\"currentRate\":0,\"actualRate\":0,\"rate\":13.44387804297205},{\"sourceKind\":\"ksg\",\"sourceRow\":24,\"sourceKey\":\"auto-c1b21b42\",\"workId\":\"\",\"name\":\"Демонтаж электроустановочных изделий и компонентов КИПиА и слаботочных систем\",\"unit\":\"шт.\",\"kq1\":\"\",\"kq2\":\"KQ-03-26\",\"stableKey\":\"auto-eded81fa\",\"plannedQua</t>
        </is>
      </c>
    </row>
    <row r="7">
      <c r="A7" t="inlineStr">
        <is>
          <t xml:space="preserve">ntity\":88,\"scheduleQuantity\":10,\"volumes\":[0,0,8.34,1.66,0,0,0,0,0,0,0,0],\"matchRule\":\"exact\",\"matchConfidence\":1,\"contractRate\":216.78976297059668,\"currentRate\":0,\"actualRate\":0,\"rate\":216.78976297059668},{\"sourceKind\":\"ksg\",\"sourceRow\":25,\"sourceKey\":\"auto-6f5b857a\",\"workId\":\"\",\"name\":\"Демонтаж изоляции\",\"unit\":\"м2\",\"kq1\":\"\",\"kq2\":\"KQ-03-27\",\"stableKey\":\"auto-443435c5\",\"plannedQuantity\":148.62,\"scheduleQuantity\":0.62,\"volumes\":[0,0,0.52,0.1,0,0,0,0,0,0,0,0],\"matchRule\":\"exact\",\"matchConfidence\":1,\"contractRate\":127.21945755435625,\"currentRate\":0,\"actualRate\":0,\"rate\":127.21945755435625},{\"sourceKind\":\"ksg\",\"sourceRow\":26,\"sourceKey\":\"auto-cdb6cb8d\",\"workId\":\"\",\"name\":\"Расчистка и планировка площадки строительства\",\"unit\":\"м2\",\"kq1\":\"\",\"kq2\":\"KQ-05-01\",\"stableKey\":\"auto-342c9105\",\"plannedQuantity\":6892,\"scheduleQuantity\":6892,\"volumes\":[0,0,0,0,0,0,0,0,0,0,6892,0],\"matchRule\":\"exact\",\"matchConfidence\":1,\"contractRate\":15.751339785853075,\"currentRate\":0,\"actualRate\":0,\"rate\":15.751339785853075},{\"sourceKind\":\"ksg\",\"sourceRow\":28,\"sourceKey\":\"auto-5c9fd88a\",\"workId\":\"\",\"name\":\"Разработка грунта с погрузкой\",\"unit\":\"м3\",\"kq1\":\"\",\"kq2\":\"KQ-09-01\",\"stableKey\":\"auto-5cca581c\",\"plannedQuantity\":22322.76,\"scheduleQuantity\":18768.460000000003,\"volumes\":[4881.74,4655.58,4220.68,1229.2,184.08,232.12,127.52,238.48,266.7,492.14,2240.22,0],\"matchRule\":\"exact\",\"matchConfidence\":1,\"contractRate\":165.43106173163682,\"currentRate\":0,\"actualRate\":0,\"rate\":165.43106173163682},{\"sourceKind\":\"ksg\",\"sourceRow\":29,\"sourceKey\":\"auto-eb2f3763\",\"workId\":\"\",\"name\":\"Шпунтовое ограждение котлованов и траншей\",\"unit\":\"т\",\"kq1\":\"\",\"kq2\":\"KQ-09-02\",\"stableKey\":\"auto-79d57782\",\"plannedQuantity\":225.8,\"scheduleQuantity\":225.8,\"volumes\":[225.8,0,0,0,0,0,0,0,0,0,0,0],\"matchRule\":\"exact\",\"matchConfidence\":1,\"contractRate\":2092.9053417709124,\"currentRate\":0,\"actualRate\":0,\"rate\":2092.9053417709124},{\"sourceKind\":\"ksg\",\"sourceRow\":30,\"sourceKey\":\"auto-711cd4a3\",\"workId\":\"\",\"name\":\"Обратная засыпка грунта с уплотнением\",\"unit\":\"м3\",\"kq1\":\"\",\"kq2\":\"KQ-10-01\",\"stableKey\":\"auto-e7274e25\",\"plannedQuantity\":18907.36,\"scheduleQuantity\":18073.14,\"volumes\":[1896.04,1229.8,5047.82,5258.98,992.74,234.26,54.02,369.14,241.28,668.64,2080.42,0],\"matchRule\":\"exact\",\"matchConfidence\":1,\"contractRate\":137.08336598764066,\"currentRate\":0,\"actualRate\":0,\"rate\":137.08336598764066},{\"sourceKind\":\"ksg\",\"sourceRow\":31,\"sourceKey\":\"auto-261e11f2\",\"workId\":\"\",\"name\":\"Устройство подбетонки\",\"unit\":\"м3\",\"kq1\":\"\",\"kq2\":\"KQ-12-01\",\"stableKey\":\"auto-12587403\",\"plannedQuantity\":665.3,\"scheduleQuantity\":628.64,\"volumes\":[169.54,20.5,93.06,101.22,121.76,8.64,15.7,4.88,1.54,48.88,42.92,0],\"matchRule\":\"exact\",\"matchConfidence\":1,\"contractRate\":667.3760717519363,\"currentRate\":0,\"actualRate\":0,\"rate\":667.3760717519363},{\"sourceKind\":\"ksg\",\"sourceRow\":32,\"sourceKey\":\"auto-c328a90f\",\"workId\":\"\",\"name\":\"Устройство монолитных конструкций ниже 0 (за исключением колодцев)\",\"unit\":\"м3\",\"kq1\":\"\",\"kq2\":\"KQ-12-02\",\"stableKey\":\"auto-53e20f97\",\"plannedQuantity\":3796.78,\"scheduleQuantity\":3623.9600000000005,\"volumes\":[1320.7,621.58,426.54,352.66,155.08,236.34,179.84,31.62,11.3,49.48,196.5,42.32],\"matchRule\":\"exact\",\"matchConfidence\":1,\"contractRate\":2287.940073339134,\"currentRate\":0,\"actualRate\":0,\"rate\":2287.940073339134},{\"sourceKind\":\"ksg\",\"sourceRow\":33,\"sourceKey\":\"auto-31c62935\",\"workId\":\"\",\"name\":\"Утепление строительных конструкций ниже 0\",\"unit\":\"м3\",\"kq1\":\"\",\"kq2\":\"KQ-12-03\",\"stableKey\":\"auto-02074cc8\",\"plannedQuantity\":48.14,\"scheduleQuantity\":41.98,\"volumes\":[0,0,0,0,0,0,0,12.2,21.12,4.84,3.82,0],\"matchRule\":\"exact\",\"matchConfidence\":1,\"contractRate\":964.6744417641229,\"currentRate\":0,\"actualRate\":0,\"rate\":964.6744417641229},{\"sourceKind\":\"ksg\",\"sourceRow\":34,\"sourceKey\":\"auto-0c3bce1f\",\"workId\":\"\",\"name\":\"Устройство монолитных конструкций выше 0\",\"unit\":\"м3\",\"kq1\":\"\",\"kq2\":\"KQ-13-01\",\"stableKey\":\"auto-e2614a75\",\"plannedQuantity\":2037.08,\"scheduleQuantity\":2017.4600000000003,\"volumes\":[64.7,446.3,491.18,298.14,30.62,399.16,4.76,0.16,188.64,74.54,17.26,2],\"matchRule\":\"exact\",\"matchConfidence\":1,\"contractRate\":6508.426604401696,\"currentRate\":0,\"actualRate\":0,\"rate\":6508.426604401696},{\"sourceKind\":\"ksg\",\"sourceRow\":36,\"sourceKey\":\"auto-3a699703\",\"workId\":\"\",\"name\":\"Устройство безусадочной подливки\",\"unit\":\"м3\",\"kq1\":\"\",\"kq2\":\"KQ-16-01\",\"stableKey\":\"auto-f7db543f\",\"plannedQuantity\":259.16,\"scheduleQuantity\":153.34,\"volumes\":[0,0,0,0,0.36,0,0,20.82,38.9,24.98,33.66,34.62],\"matchRule\":\"exact\",\"matchConfidence\":1,\"contractRate\":8909.408241974581,\"currentRate\":0,\"actualRate\":0,\"rate\":8909.408241974581},{\"sourceKind\":\"ksg\",\"sourceRow\":37,\"sourceKey\":\"auto-b63b73f2\",\"workId\":\"\",\"name\":\"Устройство монолитных колодцев\",\"unit\":\"м3\",\"kq1\":\"\",\"kq2\":\"KQ-18-02\",\"stableKey\":\"auto-a62a1299\",\"plannedQuantity\":8.74,\"scheduleQuantity\":8.32,\"volumes\":[0,0,0,0,0.6,0,0,1.44,1.9,0,4.38,0],\"matchRule\":\"exact\",\"matchConfidence\":1,\"contractRate\":3672.093020927322,\"currentRate\":0,\"actualRate\":0,\"rate\":3672.093020927322},{\"sourceKind\":\"ksg\",\"sourceRow\":40,\"sourceKey\":\"auto-aadbfc22\",\"workId\":\"\",\"name\":\"Устройство открытого подземного перехода (футляра)\",\"unit\":\"м\",\"kq1\":\"\",\"kq2\":\"KQ-20-02\",\"stableKey\":\"auto-234979cf\",\"plannedQuantity\":10.2,\"scheduleQuantity\":10.2,\"volumes\":[0,0,0,0,0,0,0,0,0,10.2,0,0],\"matchRule\":\"exact\",\"matchConfidence\":1,\"contractRate\":1366.5650051137702,\"currentRate\":0,\"actualRate\":0,\"rate\":1366.5650051137702},{\"sourceKind\":\"ksg\",\"sourceRow\":41,\"sourceKey\":\"auto-0bf6a858\",\"workId\":\"\",\"name\":\"Протаскивание труб в футляр\",\"unit\":\"м\",\"kq1\":\"\",\"kq2\":\"KQ-20-03\",\"stableKey\":\"auto-a278e614\",\"plannedQuantity\":10.2,\"scheduleQuantity\":10.2,\"volumes\":[0,0,0,0,0,0,0,0,0,10.2,0,0],\"matchRule\":\"exact\",\"matchConfidence\":1,\"contractRate\":253.56588262631885,\"currentRate\":0,\"actualRate\":0,\"rate\":253.56588262631885},{\"sourceKind\":\"ksg\",\"sourceRow\":42,\"sourceKey\":\"auto-c7ed0d14\",\"workId\":\"\",\"name\":\"Монтаж основных металлоконструкций зданий\",\"unit\":\"т\",\"kq1\":\"\",\"kq2\":\"KQ-22-01\",\"stableKey\":\"auto-27d04a17\",\"plannedQuantity\":3.72,\"scheduleQuantity\":3.72,\"volumes\":[0,0,0,0,0,0,0,0,0,0,0,3.72],\"matchRule\":\"exact\",\"matchConfidence\":1,\"contractRate\":5322.63230331369,\"currentRate\":0,\"actualRate\":0,\"rate\":5322.63230331369},{\"sourceKind\":\"ksg\",\"sourceRow\":43,\"sourceKey\":\"auto-e77919d4\",\"workId\":\"\",\"name\":\"Монтаж основных металлоконструкций этажерок и структур\",\"unit\":\"т\",\"kq1\":\"\",\"kq2\":\"KQ-22-02\",\"stableKey\":\"auto-6c8b96f6\",\"plannedQuantity\":1757.16,\"scheduleQuantity\":1505.3,\"volumes\":[0,0,10.62,115.54,115.04,290.64,272,157.8,121.32,121.06,191.52,109.76],\"matchRule\":\"exact\",\"matchConfidence\":1,\"contractRate\":5954.9924785855455,\"currentRate\":0,\"actualRate\":0,\"rate\":5954.9924785855455},{\"sourceKind\":\"ksg\",\"sourceRow\":44,\"sourceKey\":\"auto-3de79f0f\",\"workId\":\"\",\"name\":\"Монтаж основных металлоконструкций эстакад\",\"unit\":\"т\",\"kq1\":\"\",\"kq2\":\"KQ-22-03\",\"stableKey\":\"auto-718e5d8c\",\"plannedQuantity\":79.16,\"scheduleQuantity\":71.6,\"volumes\":[0,0,0,0,0,0,0,69.22,2.38,0,0,0],\"matchRule\":\"exact\",\"matchConfidence\":1,\"contractRate\":7059.054751229442,\"currentRate\":0,\"actualRate\":0,\"rate\":7059.054751229442},{\"sourceKind\":\"ksg\",\"sourceRow\":45,\"sourceKey\":\"auto-6f174092\",\"workId\":\"\",\"name\":\"Монтаж второстепенных металлоконструкций\",\"unit\":\"т\",\"kq1\":\"\",\"kq2\":\"KQ-23-01\",\"stableKey\":\"auto-28b5b412\",\"plannedQuantity\":510.02,\"scheduleQuantity\":399.56,\"volumes\":[0,0,2.14,11.92,5.12,68.88,74.54,96.74,79.22,28.14,18.08,14.78],\"matchRule\":\"exact\",\"matchConfidence\":1,\"contractRate\":12130.175427305585,\"currentRate\":0,\"actualRate\":0,\"rate\":12130.175427305585},{\"sourceKind\":\"ksg\",\"sourceRow\":47,\"sourceKey\":\"auto-8b6d1f60\",\"workId\":\"\",\"name\":\"Монтаж решетчатого настила\",\"unit\":\"м2\",\"kq1\":\"\",\"kq2\":\"KQ-24-01\",\"stableKey\":\"auto-8e2cdbdf\",\"plannedQuantity\":576.46,\"scheduleQuantity\":371.5,\"volumes\":[0,0,0,0,0,0,0,0,0,0,364.78,6.72],\"matchRule\":\"exact\",\"matchConfidence\":1,\"contractRate\":259.3611160029091,\"currentRate\":0,\"actualRate\":0,\"rate\":259.3611160029091},{\"sourceKind\":\"ksg\",\"sourceRow\":48,\"sourceKey\":\"auto-a61bc320\",\"workId\":\"\",\"name\":\"Монтаж стеновых сэндвич панелей\",\"unit\":\"м2\",\"kq1\":\"\",\"kq2\":\"KQ-25-01\",\"stableKey\":\"auto-06aa4a3e\",\"plannedQuantity\":5090.8,\"scheduleQuantity\":3935.86,\"volumes\":[0,0,0,0,0,0,0,0,0,3615.92,319.94,0],\"matchRule\":\"exact\",\"matchConfidence\":1,\"contractRate\":636.1886010254491,\"currentRate\":0,\"actualRate\":0,\"rate\":636.1886010254491},{\"sourceKind\":\"ksg\",\"sourceRow\":50,\"sourceKey\":\"auto-eaf48c8d\",\"workId\":\"\",\"name\":\"HeavyLift блочных и комплектных установок\",\"unit\":\"т\",\"kq1\":\"\",\"kq2\":\"KQ-26-01\",\"stableKey\":\"auto-20de318e\",\"plannedQuantity\":221.8,\"scheduleQuantity\":221.8,\"volumes\":[0,0,0,221.8,0,0,0,0,0,0,0,0],\"matchRule\":\"exact\",\"matchConfidence\":1,\"contractRate\":5398.751748663549,\"currentRate\":0,\"actualRate\":0,\"rate\":5398.751748663549},{\"sourceKind\":\"ksg\",\"sourceRow\":51,\"sourceKey\":\"auto-c59b8407\",\"workId\":\"\",\"name\":\"Монтаж статического колонного и емкостного оборудования\",\"unit\":\"т\",\"kq1\":\"\",\"kq2\":\"KQ-27-02\",\"stableKey\":\"auto-598d25d1\",\"plannedQuantity\":266.16,\"scheduleQuantity\":246.68,\"volumes\":[0,0,0,44.28,37.62,102.56,40.16,19.3,2.28,0.48,0,0],\"matchRule\":\"exact\",\"matchConfidence\":1,\"contractRate\":2916.338281208439,\"currentRate\":0,\"actualRate\":0,\"rate\":2916.338281208439},{\"sourceKind\":\"ksg\",\"sourceRow\":52,\"sourceKey\":\"auto-a64573a2\",\"workId\":\"\",\"name\":\"Монтаж динамического колонного и емкостного оборудования\",\"unit\":\"т\",\"kq1\":\"\",\"kq2\":\"KQ-27-03\",\"stableKey\":\"auto-cf3b42c6\",\"plannedQuantity\":26.22,\"scheduleQuantity\":24.72,\"volumes\":[0,0,0,21.8,0,0,0,2.92,0,0,0,0],\"matchRule\":\"exact\",\"matchConfidence\":1,\"contractRate\":1171.2817703858193,\"currentRate\":0,\"actualRate\":0,\"rate\":1171.2817703858193},{\"sourceKind\":\"ksg\",\"sourceRow\":53,\"sourceKey\":\"auto-14c90564\",\"workId\":\"\",\"name\":\"Монтаж теплообменников, холодильников и пароводяных подогревателей\",\"unit\":\"т\",\"kq1\":\"\",\"kq2\":\"KQ-27-04\",\"stableKey\":\"auto-689d51cd\",\"plannedQuantity\":95.48,\"scheduleQuantity\":95.47999999999999,\"volumes\":[0,0,0,0,0,39.96,27.36,6.58,19.62,1.96,0,0],\"matchRule\":\"exact\",\"matchConfidence\":1,\"contractRate\":4905.320131165876,\"currentRate\":0,\"actualRate\":0,\"rate\":4905.320131165876},{\"sourceKind\":\"ksg\",\"sourceRow\":54,\"sourceKey\":\"auto-91a3a268\",\"workId\":\"\",\"name\":\"Монтаж блочных и комплектных установок\",\"unit\":\"т\",\"kq1\":\"\",\"kq2\":\"KQ-27-05\",\"stableKey\":\"auto-fec7646a\",\"plannedQuantity\":1199.8,\"scheduleQuantity\":880.72,\"volumes\":[0,0,0,0,0,66.42,198.12,32.02,310.54,10.78,105.5,157.34],\"matchRule\":\"exact\",\"matchConfidence\":1,\"contractRate\":7299.9714780561835,\"currentRate\":0,\"actualRate\":0,\"rate\":7299.9714780561835},{\"sourceKind\":\"ksg\",\"sourceRow\":57,\"sourceKey\":\"auto-01aa5cee\",\"workId\":\"\",\"name\":\"Монтаж насосов\",\"unit\":\"т\",\"kq1\":\"\",\"kq2\":\"KQ-27-13\",\"stableKey\":\"auto-69e24529\",\"plannedQuantity\":102.02,\"scheduleQuantity\":94.88,\"volumes\":[0,0,0,0,0,22.8,0,10.18,0,3.8,11.68,46.42],\"matchRule\":\"exact\",\"matchConfidence\":1,\"contractRate\":9798.447916736199,\"currentRate\":0,\"actualRate\":0,\"rate\":9798.447916736199},{\"sourceKind\":\"ksg\",\"sourceRow\":58,\"sourceKey\":\"auto-63322ab7\",\"workId\":\"\",\"name\":\"Монтаж механических фильтров и циклонов\",\"unit\":\"т\",\"kq1\":\"\",\"kq2\":\"KQ-27-14\",\"stableKey\":\"auto-8c113199\",\"plannedQuantity\":29.98,\"scheduleQuantity\":29.98,\"volumes\":[0,0,0,5.68,0,2.28,20.68,1.34,0,0,0,0],\"matchRule\":\"exact\",\"matchConfidence\":1,\"contractRate\":5435.823517622587,\"currentRate\":0,\"actualRate\":0,\"rate\":5435.823517622587},{\"sourceKind\":\"ksg\",\"sourceRow\":59,\"sourceKey\":\"auto-a6452dfd\",\"workId\":\"\",\"name\":\"Монтаж ВКУ технологического оборудования\",\"unit\":\"т\",\"kq1\":\"\",\"kq2\":\"KQ-27-19\",\"stableKey\":\"auto-ad0edfca\",\"plannedQuantity\":6.84,\"scheduleQuantity\":3.64,\"volumes\":[0,0,0,0,0,0,0,0,0,3.64,0,0],\"matchRule\":\"exact\",\"matchConfidence\":1,\"contractRate\":29864.946689120345,\"currentRate\":0,\"actualRate\":0,\"rate\":29864.946689120345},{\"sourceKind\":\"ksg\",\"sourceRow\":62,\"sourceKey\":\"auto-cf93248b\",\"workId\":\"\",\"name\":\"Сварка технологических трубопроводов (черн. стали)\",\"unit\":\"DI\",\"kq1\":\"\",\"kq2\":\"KQ-32-01\",\"stableKey\":\"auto-c10d2dae\",\"plannedQuantity\":67996.62,\"scheduleQuantity\":7437.24,\"volumes\":[0,0,0,0,0,0,0,0,123.02,631.62,1204.94,5477.66],\"matchRule\":\"exact\",\"matchConfidence\":1,\"contractRate\":316.47347638580953,\"currentRate\":0,\"actualRate\":0,\"rate\":316.47347638580953},{\"sourceKind\":\"ksg\",\"sourceRow\":63,\"sourceKey\":\"auto-da20e48a\",\"workId\":\"\",\"name\":\"Монтаж технологических трубопроводов обвязки этажерок и структур (стальные)\",\"unit\":\"м\",\"kq1\":\"\",\"kq2\":\"KQ-33-01\",\"stableKey\":\"auto-a0558f66\",\"plannedQuantity\":65990.8,\"scheduleQuantity\":8861.88,\"volumes\":[0,0,0,0,0,0,0,0,0,943.04,3910.86,4007.98],\"matchRule\":\"exact\",\"matchConfidence\":1,\"contractRate\":723.0802245228149,\"currentRate\":0,\"actualRate\":0,\"rate\":723.0802245228149},{\"sourceKind\":\"ksg\",\"sourceRow\":64,\"sourceKey\":\"auto-94948d9f\",\"workId\":\"\",\"name\":\"Монтаж опор технологических трубопроводов\",\"unit\":\"т\",\"kq1\":\"\",\"kq2\":\"KQ-33-06\",\"stableKey\":\"auto-bb932eb4\",\"plannedQuantity\":115.66,\"scheduleQuantity\":0.14,\"volumes\":[0,0,0,0,0,0,0,0,0,0.14,0,0],\"matchRule\":\"exact\",\"matchConfidence\":1,\"contractRate\":40681.88253197282,\"currentRate\":0,\"actualRate\":0,\"rate\":40681.88253197282},{\"sourceKind\":\"ksg\",\"sourceRow\":71,\"sourceKey\":\"auto-fae08ea1\",\"workId\":\"\",\"name\":\"Монтаж стальных трубопроводов теплых полов технологических зон\",\"unit\":\"м\",\"kq1\":\"\",\"kq2\":\"KQ-34-03\",\"stableKey\":\"auto-98d8e61d\",\"plannedQuantity\":10318.4,\"scheduleQuantity\":8149.96,\"volumes\":[0,0,0,0,0,0,0,3516.48,2585.4,1344,704.08,0],\"matchRule\":\"exact\",\"matchConfidence\":1,\"contractRate\":217.83150074132828,\"currentRate\":0,\"actualRate\":0,\"rate\":217.83150074132828},{\"sourceKind\":\"ksg\",\"sourceRow\":72,\"sourceKey\":\"auto-2e4f2433\",\"workId\":\"\",\"name\":\"Неразрушающий контроль стыков (РК)\",\"unit\":\"стык\",\"kq1\":\"\",\"kq2\":\"KQ-35-01\",\"stableKey\":\"auto-cb8b6838\",\"plannedQuantity\":111243.4,\"scheduleQuantity\":13677.32,\"volumes\":[0,0,0,0,0,0,0,0,0,0,8753.98,4923.34],\"matchRule\":\"exact\",\"matchConfidence\":1,\"contractRate\":187.31322759344675,\"currentRate\":0,\"actualRate\":0,\"rate\":187.31322759344675},{\"sourceKind\":\"ksg\",\"sourceRow\":75,\"sourceKey\":\"auto-d3f7d420\",\"workId\":\"\",\"name\":\"ОГЗ металлоконструкций (окрасочная)\",\"unit\":\"м2\",\"kq1\":\"\",\"kq2\":\"KQ-37-02\",\"stableKey\":\"auto-c2d1f0b8\",\"plannedQuantity\":10379.88,\"scheduleQuantity\":9329.9,\"volumes\":[0,0,0,1099.96,3000.24,4601.38,628.32,0,0,0,0,0],\"matchRule\":\"exact\",\"matchConfidence\":1,\"contractRate\":836.4704645800064,\"currentRate\":0,\"actualRate\":0,\"rate\":836.4704645800064},{\"sourceKind\":\"ksg\",\"sourceRow\":76,\"sourceKey\":\"auto-fde84ba4\",\"workId\":\"\",\"name\":\"АКЗ трубопроводов\",\"unit\":\"м2\",\"kq1\":\"\",\"kq2\":\"KQ-38-02\",\"stableKey\":\"auto-e963e9db\",\"plannedQuantity\":20096.78,\"scheduleQuantity\":1708.56,\"volumes\":[0,0,0,0,0,0,0,623.36,767.28,317.92,0,0],\"matchRule\":\"exact\",\"matchConfidence\":1,\"contractRate\":205.72212936717014,\"currentRate\":0,\"actualRate\":0,\"rate\":205.72212936717014},{\"sourceKind\":\"ksg\",\"sourceRow\":77,\"sourceKey\":\"auto-f0b0daec\",\"workId\":\"\",\"name\":\"АКЗ металлоконструкций\",\"unit\":\"м2\",\"kq1\":\"\",\"kq2\":\"KQ-38-03\",\"stableKey\":\"auto-a93205de\",\"plannedQuantity\":15100.54,\"scheduleQuantity\":1068.34,\"volumes\":[0,0,0,0,0,0,0,5.8,0,0,1062.54,0],\"matchRule\":\"exact\",\"matchConfidence\":1,\"contractRate\":431.50828943570804,\"currentRate\":0,\"actualRate\":0,\"rate\":431.50828943570804},{\"sourceKind\":\"ksg\",\"sourceRow\":88,\"sourceKey\":\"auto-6fc8133d\",\"workId\":\"\",\"name\":\"Монтаж вспомогательных опорных металлоконструкций для кабеленесущих систем и оборудования ЭОМ и КИПиА\",\"unit\":\"т\",\"kq1\":\"\",\"kq2\":\"KQ-44-01\",\"stableKey\":\"auto-85d5ff46\",\"plannedQuantity\":28.1,\"scheduleQuantity\":3.78,\"volumes\":[0,0,0,0,0,0,0,0,0,0,0,3.78],\"matchRule\":\"exact\",\"matchConfidence\":1,\"contractRate\":18536.399185027512,\"currentRate\":0,\"actualRate\":0,\"rate\":18536.399185027512},{\"sourceKind\":\"ksg\",\"sourceRow\":89,\"sourceKey\":\"auto-62e99016\",\"workId\":\"\",\"name\":\"Монтаж кабельных лотков\",\"unit\":\"м\",\"kq1\":\"\",\"kq2\":\"KQ-45-01\",\"stableKey\":\"auto-0d268162\",\"plannedQuantity\":60046.02,\"scheduleQuantity\":10551.32,\"volumes\":[0,0,0,0,0,0,0,0,0,2012.04,3117.82,5421.46],\"matchRule\":\"exact\",\"matchConfidence\":1,\"contractRate\":170.30311518858326,\"currentRate\":0,\"actualRate\":0,\"rate\":170.30311518858326},{\"sourceKind\":\"ksg\",\"sourceRow\":93,\"sourceKey\":\"auto-c0af49fe\",\"workId\":\"\",\"name\":\"Монтаж металлорукавов\",\"unit\":\"м\",\"kq1\":\"\",\"kq2\":\"KQ-46-02\",\"stableKey\":\"auto-17426b35\",\"plannedQuantity\":33687.72,\"scheduleQuantity\":324.21999999999997,\"volumes\":[0,0,0,0,0,0,0,0,0,0,108.08,216.14],\"matchRule\":\"exact\",\"matchConfidence\":1,\"contractRate\":30.660274124178198,\"currentRate\":0,\"actualRate\":0,\"rate\":30.660274124178198},{\"sourceKind\":\"ksg\",\"sourceRow\":95,\"sourceKey\":\"auto-6307265d\",\"workId\":\"\",\"name\":\"Монтаж кабеля КИПиА\",\"unit\":\"м\",\"kq1\":\"\",\"kq2\":\"KQ-48-01\",\"stableKey\":\"auto-4f691479\",\"plannedQuantity\":632758,\"scheduleQuantity\":14693.96,\"volumes\":[0,0,0,0,0,0,0,0,0,0,50,14643.96],\"matchRule\":\"exact\",\"matchConfidence\":1,\"contractRate\":30.27664999051171,\"currentRate\":0,\"actualRate\":0,\"rate\":30.27664999051171},{\"sourceKind\":\"ksg\",\"sourceRow\":98,\"sourceKey\":\"auto-7093b9e4\",\"workId\":\"\",\"name\":\"Расключение кабеля КИПиА\",\"unit\":\"шт. (конец кабеля)\",\"kq1\":\"\",\"kq2\":\"KQ-48-04\",\"stableKey\":\"auto-1b7e2a92\",\"plannedQuantity\":18416,\"scheduleQuantity\":409.7,\"volumes\":[0,0,0,0,0,0,0,0,0,0,20,389.7],\"matchRule\":\"exact\",\"matchConfidence\":1,\"contractRate\":283.470095667944,\"currentRate\":0,\"actualRate\":0,\"rate\":283.470095667944},{\"sourceKind\":\"ksg\",\"sourceRow\":100,\"sourceKey\":\"auto-d1fe45b2\",\"workId\":\"\",\"name\":\"Монтаж силового кабеля до 1 кВ\",\"unit\":\"м\",\"kq1\":\"\",\"kq2\":\"KQ-49-01\",\"stableKey\":\"auto-f9b1607d\",\"plannedQuantity\":195684.6,\"scheduleQuantity\":26674.199999999997,\"volumes\":[0,0,0,0,0,0,0,0,0,58.02,13954.22,12661.96],\"matchRule\":\"exact\",\"matchConfidence\":1,\"contractRate\":27.767371100723437,\"currentRate\":0,\"actualRate\":0,\"rate\":27.767371100723437},{\"sourceKind\":\"ksg\",\"sourceRow\":102,\"sourceKey\":\"auto-622f5568\",\"workId\":\"\",\"name\":\"Расключение силового кабеля до 1 кВ\",\"unit\":\"шт. (конец кабеля)\",\"kq1\":\"\",\"kq2\":\"KQ-49-04\",\"stableKey\":\"auto-01e1e89c\",\"plannedQuantity\":18180,\"scheduleQuantity\":6.12,\"volumes\":[0,0,0,0,0,0,0,0,0,0,0,6.12],\"matchRule\":\"exact\",\"matchConfidence\":1,\"contractRate\":123.43750676957525,\"currentRate\":0,\"actualRate\":0,\"rate\":123.43750676957525},{\"sourceKind\":\"ksg\",\"sourceRow\":106,\"sourceKey\":\"auto-22116b12\",\"workId\":\"\",\"name\":\"Монтаж проводника заземления (провод)\",\"unit\":\"м\",\"kq1\":\"\",\"kq2\":\"KQ-51-01\",\"stableKey\":\"auto-7b0989df\",\"plannedQuantity\":14835.7,\"scheduleQuantity\":204,\"volumes\":[0,0,0,0,0,0,0,0,0,0,89.94,114.06],\"matchRule\":\"exact\",\"matchConfidence\":1,\"contractRate\":67.79404878786701,\"currentRate\":0,\"actualRate\":0,\"rate\":67.79404878786701},{\"sourceKind\":\"ksg\",\"sourceRow\":107,\"sourceKey\":\"auto-21f25120\",\"workId\":\"\",\"name\":\"Монтаж проводника заземления (полоса)\",\"unit\":\"м\",\"kq1\":\"\",\"kq2\":\"KQ-51-02\",\"stableKey\":\"auto-40ad0cba\",\"plannedQuantity\":6953.36,\"scheduleQuantity\":3374.94,\"volumes\":[0,0,0,200,0,0,424.02,1545.28,491.84,158,348.7,207.1],\"matchRule\":\"exact\",\"matchConfidence\":1,\"contractRate\":24.233211730751655,\"currentRate\":0,\"actualRate\":0,\"rate\":24.233211730751655},{\"sourceKind\":\"ksg\",\"sourceRow\":112,\"sourceKey\":\"auto-0b42709c\",\"workId\":\"\",\"name\":\"Монтаж малых силовых шкафов\",\"unit\":\"шт.\",\"kq1\":\"\",\"kq2\":\"KQ-57-01\",\"stableKey\":\"auto-0b81602b\",\"plannedQuantity\":174,\"scheduleQuantity\":2,\"volumes\":[0,0,0,0,0,0,0,0,0,2,0,0],\"matchRule\":\"exact\",\"matchConfidence\":1,\"contractRate\":338.3121241996865,\"currentRate\":0,\"actualRate\":0,\"rate\":338.3121241996865},{\"sourceKind\":\"ksg\",\"sourceRow\":114,\"sourceKey\":\"auto-12919134\",\"workId\":\"\",\"name\":\"Монтаж щитового оборудования РУ, ВРУ\",\"unit\":\"шт.\",\"kq1\":\"\",\"kq2\":\"KQ-57-03\",\"stableKey\":\"auto-3260498c\",\"plannedQuantity\":120,\"scheduleQuantity\":13.34,\"volumes\":[0,0,0,0,0,0,0,0,0,0,0,13.34],\"matchRule\":\"exact\",\"matchConfidence\":1,\"contractRate\":3610.688456336083,\"currentRate\":0,\"actualRate\":0,\"rate\":3610.688456336083},{\"sourceKind\":\"ksg\",\"sourceRow\":115,\"sourceKey\":\"auto-11cbc547\",\"workId\":\"\",\"name\":\"Монтаж щитового оборудования КИПиА\",\"unit\":\"шт.\",\"kq1\":\"\",\"kq2\":\"KQ-58-01\",\"stableKey\":\"auto-277dc6cc\",\"plannedQuantity\":232,\"scheduleQuantity\":22,\"volumes\":[0,0,0,0,0,0,0,0,0,0,0,22],\"matchRule\":\"exact\",\"matchConfidence\":1,\"contractRate\":3198.7201830223016,\"currentRate\":0,\"actualRate\":0,\"rate\":3198.7201830223016},{\"sourceKind\":\"ksg\",\"sourceRow\":118,\"sourceKey\":\"auto-20c6d5c0\",\"workId\":\"\",\"name\":\"Монтаж оконечных и распределительных устройств слаботочных сетей\",\"unit\":\"шт.\",\"kq1\":\"\",\"kq2\":\"KQ-59-02\",\"stableKey\":\"auto-59e7d61e\",\"plannedQuantity\":1202,\"scheduleQuantity\":1.94,\"volumes\":[0,0,0,0,0,0,0,0,0,0,0,1.94],\"matchRule\":\"exact\",\"matchConfidence\":1,\"contractRate\":126.98430955743038,\"currentRate\":0,\"actualRate\":0,\"rate\":126.98430955743038},{\"sourceKind\":\"ksg\",\"sourceRow\":119,\"sourceKey\":\"auto-b67c0b20\",\"workId\":\"\",\"name\":\"Монтаж приборов КИПиА\",\"unit\":\"шт.\",\"kq1\":\"\",\"kq2\":\"KQ-60-01\",\"stableKey\":\"auto-1a3aa973\",\"plannedQuantity\":2240,\"scheduleQuantity\":12,\"volumes\":[0,0,0,0,0,0,0,0,0,0,4,8],\"matchRule\":\"exact\",\"matchConfidence\":1,\"contractRate\":678.8017962028557,\"currentRate\":0,\"actualRate\":0,\"rate\":678.8017962028557},{\"sourceKind\":\"ksg\",\"sourceRow\":127,\"sourceKey\":\"auto-2e4b4108\",\"workId\":\"\",\"name\":\"Монтаж воздуховодов\",\"unit\":\"м2\",\"kq1\":\"\",\"kq2\":\"KQ-62-01\",\"stableKey\":\"auto-fd0fd071\",\"plannedQuantity\":6386.64,\"scheduleQuantity\":68.08,\"volumes\":[0,0,0,0,0,0,0,0,0,0,0,68.08],\"matchRule\":\"exact\",\"matchConfidence\":1,\"contractRate\":250.8522693300239,\"currentRate\":0,\"actualRate\":0,\"rate\":250.8522693300239},{\"sourceKind\":\"ksg\",\"sourceRow\":128,\"sourceKey\":\"auto-07b33e4e\",\"workId\":\"\",\"name\":\"Монтаж вентиляционных клапанов и заслонок\",\"unit\":\"шт.\",\"kq1\":\"\",\"kq2\":\"KQ-62-02\",\"stableKey\":\"auto-f7115d1e\",\"plannedQuantity\":390,\"scheduleQuantity\":2,\"volumes\":[0,0,0,0,0,0,0,0,0,0,0,2],\"matchRule\":\"exact\",\"matchConfidence\":1,\"contractRate\":224.29123275843202,\"currentRate\":0,\"actualRate\":0,\"rate\":224.29123275843202},{\"sourceKind\":\"ksg\",\"sourceRow\":134,\"sourceKey\":\"auto-6e880ffc\",\"workId\":\"\",\"name\":\"Монтаж пластиковых трубопроводов внутренних инженерных сетей\",\"unit\":\"м\",\"kq1\":\"\",\"kq2\":\"KQ-64-01\",\"stableKey\":\"auto-1ebc70e3\",\"plannedQuantity\":242.18,\"scheduleQuantity\":84,\"volumes\":[0,0,0,0,0,0,0,0,0,84,0,0],\"matchRule\":\"exact\",\"matchConfidence\":1,\"contractRate\":241.86521076828024,\"currentRate\":0,\"actualRate\":0,\"rate\":241.86521076828024},{\"sourceKind\":\"ksg\",\"sourceRow\":155,\"sourceKey\":\"auto-37e66121\",\"workId\":\"\",\"name\":\"Кладка стен и перегородок\",\"unit\":\"м3\",\"kq1\":\"\",\"kq2\":\"KQ-69-01\",\"stableKey\":\"auto-929bba11\",\"plannedQuantity\":451.08,\"scheduleQuantity\":451.06,\"volumes\":[0,0,0,0,17.98,25.98,96.02,113.32,174.84,7.32,3.54,12.06],\"matchRule\":\"exact\",\"matchConfidence\":1,\"contractRate\":1187.8688605859122,\"currentRate\":0,\"actualRate\":0,\"rate\":1187.8688605859122},{\"sourceKind\":\"ksg\",\"sourceRow\":156,\"sourceKey\":\"auto-4ebac79f\",\"workId\":\"\",\"name\":\"Отделка стен\",\"unit\":\"м2\",\"kq1\":\"\",\"kq2\":\"KQ-69-02\",\"stableKey\":\"auto-d42fdda0\",\"plannedQuantity\":3653,\"scheduleQuantity\":333.98,\"volumes\":[0,0,0,0,0,0,0,0,0,0,0,333.98],\"matchRule\":\"exact\",\"matchConfidence\":1,\"contractRate\":276.1001359976449,\"currentRate\":0,\"actualRate\":0,\"rate\":276.1001359976449},{\"sourceKind\":\"ksg\",\"sourceRow\":157,\"sourceKey\":\"auto-b484d088\",\"workId\":\"\",\"name\":\"Устройство полов\",\"unit\":\"м2\",\"kq1\":\"\",\"kq2\":\"KQ-69-03\",\"stableKey\":\"auto-1880c90c\",\"plannedQuantity\":5213.94,\"scheduleQuantity\":3653.68,\"volumes\":[0,0,0,7.78,0,0,0,0,200.42,1852.96,1057.46,535.06],\"matchRule\":\"exact\",\"matchConfidence\":1,\"contractRate\":1826.46258370269,\"currentRate\":0,\"actualRate\":0,\"rate\":1826.46258370269},{\"sourceKind\":\"ksg\",\"sourceRow\":162,\"sourceKey\":\"auto-afc1b623\",\"workId\":\"\",\"name\":\"Укладка геоматериалов\",\"unit\":\"м2\",\"kq1\":\"\",\"kq2\":\"KQ-71-01\",\"stableKey\":\"auto-42cb0c23\",\"plannedQuantity\":11122.2,\"scheduleQuantity\":10997.720000000001,\"volumes\":[0,0,0,0,0,0,0,0,0,2584.1,8413.62,0],\"matchRule\":\"exact\",\"matchConfidence\":1,\"contractRate\":19.30843262215975,\"currentRate\":0,\"actualRate\":0,\"rate\":19.30843262215975},{\"sourceKind\":\"ksg\",\"sourceRow\":163,\"sourceKey\":\"auto-da8b7338\",\"workId\":\"\",\"name\":\"Устройство щебеночных оснований и покрытий\",\"unit\":\"м3\",\"kq1\":\"\",\"kq2\":\"KQ-71-02\",\"stableKey\":\"auto-2af92db9\",\"plannedQuantity\":2349.92,\"scheduleQuantity\":2326.66,\"volumes\":[0,0,0,0,0,0,0,0.36,0,546.86,1779.44,0],\"matchRule\":\"exact\",\"matchConfidence\":1,\"contractRate\":166.77422536084194,\"currentRate\":0,\"actualRate\":0,\"rate\":166.77422536084194},{\"sourceKind\":\"ksg\",\"sourceRow\":164,\"sourceKey\":\"auto-ba92fa9b\",\"workId\":\"\",\"name\":\"Устройство бетонных покрытий\",\"unit\":\"м3\",\"kq1\":\"\",\"kq2\":\"KQ-71-03\",\"stableKey\":\"auto-3d9d5109\",\"plannedQuantity\":2129.8,\"scheduleQuantity\":1793.04,\"volumes\":[0,0,0,0,0,0,0,0,0,209.72,1138.62,444.7],\"matchRule\":\"exact\",\"matchConfidence\":1,\"contractRate\":2709.3377930190486,\"currentRate\":0,\"actualRate\":0,\"rate\":2709.3377930190486}],\"sourceFile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workSourceMeta\":{\"blockers\":[\"Подключите BOQ, КСГ и документы договора; расчёт недоступен до проверки источников.\"],\"loading\":false,\"error\":null,\"currency\":\"USD\",\"sourceContractNumber\":\"4700134228\",\"primarySourceContract\":\"4700134228\",\"bankSourceContract\":\"4700134228\",\"primaryRows\":0,\"primaryPaymentMatches\":0,\"bankRows\":0,\"factoringRows\":0,\"sourcePaths\":{\"boq\":\"data/contractors/derived-4700134228/sources/boq.xlsx\",\"ksg\":\"data/contractors/derived-4700134228/sources/ksg.xlsx\",\"personnel\":\"data/contractors/derived-4700134228/sources/personnel.xlsx\",\"equipment\":\"data/contractors/derived-4700134228/sources/equipment.xlsx\",\"primary_documents\":\"data/contractors/derived-4700134228/sources/primary_documents.xlsx\",\"payments\":\"data/contractors/derived-4700134228/sources/payments.xlsx\",\"factoring\":\"data/contractors/derived-4700134228/sources/factoring.xlsx\"},\"resourceSources\":{},\"receiptSource\":\"Платежи H (без НДС) + Факторинг R (без НДС), Авансы H, зачёты Первичка AD\",\"boqFile\":\"data/contractors/derived-4700134228/sources/boq.xlsx\",\"ksgFile\":\"data/contractors/derived-4700134228/sources/ksg.xlsx\",\"boqRows\":888,\"kq2Rows\":146,\"ksgRows\":72,\"matchedRows\":72,\"unmatchedRows\":0,\"ignoredRows\":10,\"boqCost\":255840353.09750876,\"scheduledCost\":96377429.63794604,\"contractQuantity\":1333633.7165260015,\"scheduledQuantity\":201119.70000000004,\"loadedAt\":\"2026-09-25T12:19:00.155Z\"},\"portfolioYearMissing\":false,\"vatRate\":22,\"vacationBasis\":\"annual\",\"actualThroughMonth\":0,\"b</t>
        </is>
      </c>
    </row>
    <row r="8">
      <c r="A8" t="inlineStr">
        <is>
          <t xml:space="preserve">indings\":{\"boq\":{\"target\":\"driver:physicalVolume\",\"mode\":\"cells\",\"cells\":\"\",\"date\":\"\",\"value\":\"\",\"scale\":1,\"filterCol\":\"\",\"filterValue\":\"\",\"scope\":true},\"ksg\":{\"target\":\"driver:physicalVolume\",\"mode\":\"cells\",\"cells\":\"\",\"date\":\"\",\"value\":\"\",\"scale\":1,\"filterCol\":\"\",\"filterValue\":\"\",\"scope\":true},\"personnel\":{\"target\":\"driver:physicalVolume\",\"mode\":\"cells\",\"cells\":\"\",\"date\":\"\",\"value\":\"\",\"scale\":1,\"filterCol\":\"\",\"filterValue\":\"\",\"scope\":true},\"equipment\":{\"target\":\"driver:physicalVolume\",\"mode\":\"cells\",\"cells\":\"\",\"date\":\"\",\"value\":\"\",\"scale\":1,\"filterCol\":\"\",\"filterValue\":\"\",\"scope\":true},\"primary_documents\":{\"target\":\"driver:physicalVolume\",\"mode\":\"cells\",\"cells\":\"\",\"date\":\"\",\"value\":\"\",\"scale\":1,\"filterCol\":\"\",\"filterValue\":\"\",\"scope\":true},\"payments\":{\"target\":\"driver:physicalVolume\",\"mode\":\"cells\",\"cells\":\"\",\"date\":\"\",\"value\":\"\",\"scale\":1,\"filterCol\":\"\",\"filterValue\":\"\",\"scope\":true},\"factoring\":{\"target\":\"driver:physicalVolume\",\"mode\":\"cells\",\"cells\":\"\",\"date\":\"\",\"value\":\"\",\"scale\":1,\"filterCol\":\"\",\"filterValue\":\"\",\"scope\":true}},\"costSourceBasis\":{},\"materialKinds\":{},\"manualCosts\":{},\"manualPayments\":{},\"sourceCurrency\":\"USD\",\"expectNoActuals\":true,\"kqEstimate\":[{\"code\":\"KQ-32-01\",\"name\":\"Сварка технологических трубопроводов (черн. стали), DI\",\"unit\":\"ед.\",\"quantity\":144402.65399999992,\"laborHours\":482087.6463381562,\"machineHours\":59664.31776290354,\"cost\":45699609.9107172,\"materialsCost\":0,\"materialsRows\":65,\"sourceRows\":65,\"sourceKeys\":[\"auto-db2f2c19\",\"auto-da2f2a86\",\"auto-e52f3bd7\",\"auto-e42f3a44\",\"auto-e3317748\",\"auto-e43178db\",\"auto-e5317a6e\",\"auto-e6317c01\",\"auto-e7317d94\",\"auto-e8317f27\",\"auto-e93180ba\",\"auto-ea31824d\",\"auto-db316ab0\",\"auto-dc316c43\",\"auto-e933bf51\",\"auto-e833bdbe\",\"auto-e733bc2b\",\"auto-e633ba98\",\"auto-ed33c59d\",\"auto-ec33c40a\",\"auto-eb33c277\",\"auto-ea33c0e4\",\"auto-e133b2b9\",\"auto-e033b126\",\"auto-6b6c8b0d\",\"auto-6a6c897a\",\"auto-696c87e7\",\"auto-686c8654\",\"auto-8cb5fd0f\",\"auto-8bb5fb7c\",\"auto-8eb60035\",\"auto-8db5fea2\",\"auto-90b6035b\",\"auto-8fb601c8\",\"auto-9ea4d044\",\"auto-9fa4d1d7\",\"auto-a0a4d36a\",\"auto-a1a4d4fd\",\"auto-9aa4c9f8\",\"auto-9ba4cb8b\",\"auto-9ca4cd1e\",\"auto-9da4ceb1\",\"auto-96a4c3ac\",\"auto-97a4c53f\",\"auto-a4a7184d\",\"auto-a3a716ba\",\"auto-a2a71527\",\"auto-a1a71394\",\"auto-a0a71201\",\"auto-9fa7106e\",\"auto-9ea70edb\",\"auto-9da70d48\",\"auto-9ca70bb5\",\"auto-9ba70a22\",\"auto-86b7d8b9\",\"auto-85b7d726\",\"auto-84b7d593\",\"auto-83b7d400\",\"auto-8ab7df05\",\"auto-89b7dd72\",\"auto-88b7dbdf\",\"auto-87b7da4c\",\"auto-8eb7e551\",\"auto-8db7e3be\",\"auto-80b590b0\"],\"stableKey\":\"auto-b0b87459\",\"rate\":316.47347638580953,\"scheduledQuantity\":7437.24,\"scheduledCost\":2353689.197515598,\"quantityVariance\":-136965.41399999993,\"scheduleRows\":1},{\"code\":\"KQ-33-01\",\"name\":\"Монтаж технологических трубопроводов на эстакаде (стальные), м\",\"unit\":\"ед.\",\"quantity\":54099.19200000029,\"laborHours\":400239.15997065156,\"machineHours\":54908.035655235,\"cost\":39118055.897863075,\"materialsCost\":0,\"materialsRows\":23,\"sourceRows\":23,\"sourceKeys\":[\"auto-6c99b078\",\"auto-6d99b20b\",\"auto-6a9bebe9\",\"auto-699bea56\",\"auto-689be8c3\",\"auto-679be730\",\"auto-6e9bf235\",\"auto-6d9bf0a2\",\"auto-29003f14\",\"auto-aff8c4d4\",\"auto-b0f8c667\",\"auto-b1f8c7fa\",\"auto-b2f8c98d\",\"auto-abf8be88\",\"auto-acf8c01b\",\"auto-adf8c1ae\",\"auto-aef8c341\",\"auto-a7f8b83c\",\"auto-a8f8b9cf\",\"auto-b5fb0cdd\",\"auto-b4fb0b4a\",\"auto-b3fb09b7\",\"auto-b2fb0824\"],\"stableKey\":\"auto-dc5998b8\",\"rate\":723.0802245228149,\"scheduledQuantity\":8861.88,\"scheduledCost\":6407850.180094242,\"quantityVariance\":-45237.31200000029,\"scheduleRows\":1},{\"code\":\"KQ-13-01\",\"name\":\"Устройство монолитных конструкций выше 0, м3\",\"unit\":\"ед.\",\"quantity\":2618.9,\"laborHours\":224007.2929183797,\"machineHours\":15565.125889427727,\"cost\":17044918.434267603,\"materialsCost\":0,\"materialsRows\":22,\"sourceRows\":22,\"sourceKeys\":[\"auto-e2ea1e4d\",\"auto-dfea1994\",\"auto-e0ea1b27\",\"auto-ddea166e\",\"auto-53f18bf5\",\"auto-5af196fa\",\"auto-4def43ec\",\"auto-4eef457f\",\"auto-4fef4712\",\"auto-90aa19ca\",\"auto-8faa1837\",\"auto-8eaa16a4\",\"auto-8daa1511\",\"auto-f8acfc19\",\"auto-05af4f27\",\"auto-04af4d94\",\"auto-f39de9b0\",\"auto-f49deb43\",\"auto-dd125608\",\"auto-dc125475\",\"auto-db1252e2\",\"auto-de101904\"],\"stableKey\":\"auto-afdcb29a\",\"rate\":6508.426604401696,\"scheduledQuantity\":2017.4600000000003,\"scheduledCost\":13130490.337316247,\"quantityVariance\":-601.4399999999998,\"scheduleRows\":1},{\"code\":\"KQ-48-01\",\"name\":\"Монтаж кабеля КИПиА, м\",\"unit\":\"ед.\",\"quantity\":449848,\"laborHours\":198493.70572689566,\"machineHours\":19035.097904715203,\"cost\":13619890.444931712,\"materialsCost\":0,\"materialsRows\":45,\"sourceRows\":45,\"sourceKeys\":[\"auto-cee863f2\",\"auto-cfe86585\",\"auto-c8e85a80\",\"auto-c9e85c13\",\"auto-cae85da6\",\"auto-cbe85f39\",\"auto-d4e86d64\",\"auto-d5e86ef7\",\"auto-5ef00267\",\"auto-5df000d4\",\"auto-60f0058d\",\"auto-5ff003fa\",\"auto-5aeffc1b\",\"auto-59effa88\",\"auto-5cefff41\",\"auto-5beffdae\",\"auto-56eff5cf\",\"auto-55eff43c\",\"auto-58edba5e\",\"auto-59edbbf1\",\"auto-56edb738\",\"auto-57edb8cb\",\"auto-5cedc0aa\",\"auto-5dedc23d\",\"auto-5aedbd84\",\"auto-5bedbf17\",\"auto-50edadc6\",\"auto-1b52854c\",\"auto-1c5286df\",\"auto-19528226\",\"auto-1a5283b9\",\"auto-17527f00\",\"auto-18528093\",\"auto-2552950a\",\"auto-2652969d\",\"auto-af5a2a0d\",\"auto-ae5a287a\",\"auto-ad5a26e7\",\"auto-ac5a2554\",\"auto-ab5a23c1\",\"auto-aa5a222e\",\"auto-a95a209b\",\"auto-a85a1f08\",\"auto-a75a1d75\",\"auto-a65a1be2\"],\"stableKey\":\"auto-3684a862\",\"rate\":30.27664999051171,\"scheduledQuantity\":14693.96,\"scheduledCost\":444883.8838945794,\"quantityVariance\":-435154.04,\"scheduleRows\":1},{\"code\":\"KQ-45-01\",\"name\":\"Монтаж кабельных лотков, м\",\"unit\":\"ед.\",\"quantity\":58462.87199999999,\"laborHours\":159087.25492590867,\"machineHours\":6250.152890355096,\"cost\":9956409.224471398,\"materialsCost\":0,\"materialsRows\":18,\"sourceRows\":18,\"sourceKeys\":[\"auto-dc22e10e\",\"auto-db22df7b\",\"auto-da22dde8\",\"auto-d922dc55\",\"auto-d822dac2\",\"auto-40f24bde\",\"auto-41f24d71\",\"auto-3ef248b8\",\"auto-3ff24a4b\",\"auto-4b7650c3\",\"auto-507658a2\",\"auto-51765a35\",\"auto-4e76557c\",\"auto-4f76570f\",\"auto-54765eee\",\"auto-55766081\",\"auto-dd7df25e\",\"auto-dc7df0cb\"],\"stableKey\":\"auto-5236faa7\",\"rate\":170.30311518858326,\"scheduledQuantity\":10551.32,\"scheduledCost\":1796922.6653516022,\"quantityVariance\":-47911.55199999999,\"scheduleRows\":1},{\"code\":\"KQ-23-02\",\"name\":\"Монтаж металлоконструкций усиления, т\",\"unit\":\"ед.\",\"quantity\":383.68,\"laborHours\":120081.43270752639,\"machineHours\":9366.836498719638,\"cost\":8503089.41918018,\"materialsCost\":0,\"materialsRows\":1,\"sourceRows\":1,\"sourceKeys\":[\"auto-179bf886\"],\"stableKey\":\"auto-093f384e\",\"rate\":22161.930304368696,\"scheduledQuantity\":0,\"scheduledCost\":0,\"quantityVariance\":-383.68,\"scheduleRows\":0},{\"code\":\"KQ-12-02\",\"name\":\"Устройство монолитных конструкций ниже 0 (за исключением колодцев), м3\",\"unit\":\"ед.\",\"quantity\":3556.9400000000005,\"laborHours\":91442.94496422901,\"machineHours\":16450.11845030557,\"cost\":8138065.564462901,\"materialsCost\":0,\"materialsRows\":15,\"sourceRows\":15,\"sourceKeys\":[\"auto-535bd878\",\"auto-57605bf2\",\"auto-56605a5f\",\"auto-556058cc\",\"auto-52605413\",\"auto-60606a1d\",\"auto-ef1b7b9f\",\"auto-6020aab0\",\"auto-6120ac43\",\"auto-6620b422\",\"auto-6720b5b5\",\"auto-6420b0fc\",\"auto-6520b28f\",\"auto-6822f5df\",\"auto-6522f126\"],\"stableKey\":\"auto-0e54ddd6\",\"rate\":2287.940073339134,\"scheduledQuantity\":3623.9600000000005,\"scheduledCost\":8291403.308178089,\"quantityVariance\":67.01999999999998,\"scheduleRows\":1},{\"code\":\"KQ-48-04\",\"name\":\"Расключение кабеля КИПиА, шт. (конец кабеля)\",\"unit\":\"ед.\",\"quantity\":24740,\"laborHours\":116878.32139475917,\"machineHours\":3727.1315027104342,\"cost\":7013050.166824934,\"materialsCost\":0,\"materialsRows\":35,\"sourceRows\":35,\"sourceKeys\":[\"auto-7b7b38f5\",\"auto-7a7b3762\",\"auto-757b2f83\",\"auto-747b2df0\",\"auto-777b32a9\",\"auto-767b3116\",\"auto-817b4267\",\"auto-807b40d4\",\"auto-7378edc6\",\"auto-7478ef59\",\"auto-7178eaa0\",\"auto-7278ec33\",\"auto-7778f412\",\"auto-7878f5a5\",\"auto-7578f0ec\",\"auto-7678f27f\",\"auto-7b78fa5e\",\"auto-7c78fbf1\",\"auto-0d760e9d\",\"auto-0c760d0a\",\"auto-09760851\",\"auto-3bffe2f1\",\"auto-38ffde38\",\"auto-39ffdfcb\",\"auto-36ffdb12\",\"auto-37ffdca5\",\"auto-38fd9fa1\",\"auto-37fd9e0e\",\"auto-36fd9c7b\",\"auto-35fd9ae8\",\"auto-3cfda5ed\",\"auto-3bfda45a\",\"auto-3afda2c7\",\"auto-39fda134\",\"auto-b3fa8fab\"],\"stableKey\":\"auto-3384a3a9\",\"rate\":283.470095667944,\"scheduledQuantity\":409.7,\"scheduledCost\":116137.69819515666,\"quantityVariance\":-24330.3,\"scheduleRows\":1},{\"code\":\"KQ-33-07\",\"name\":\"Монтаж арматуры технологических трубопроводов, шт.\",\"unit\":\"ед.\",\"quantity\":8144,\"laborHours\":58183.42494472238,\"machineHours\":12710.127840177589,\"cost\":6370784.264247858,\"materialsCost\":0,\"materialsRows\":37,\"sourceRows\":37,\"sourceKeys\":[\"auto-eaa98960\",\"auto-eda98e19\",\"auto-eca98c86\",\"auto-f7a99dd7\",\"auto-f6a99c44\",\"auto-e9a74936\",\"auto-eaa74ac9\",\"auto-e7a74610\",\"auto-e8a747a3\",\"auto-eda74f82\",\"auto-eea75115\",\"auto-eba74c5c\",\"auto-eca74def\",\"auto-f1a755ce\",\"auto-f2a75761\",\"auto-83a46a0d\",\"auto-82a4687a\",\"auto-81a466e7\",\"auto-543811ec\",\"auto-5538137f\",\"auto-52380ec6\",\"auto-53381059\",\"auto-50380ba0\",\"auto-51380d33\",\"auto-5e3821aa\",\"auto-5f38233d\",\"auto-5035cd09\",\"auto-4f35cb76\",\"auto-4e35c9e3\",\"auto-4d35c850\",\"auto-5435d355\",\"auto-5335d1c2\",\"auto-5235d02f\",\"auto-5135ce9c\",\"auto-5835d9a1\",\"auto-5735d80e\",\"auto-ca32bb80\"],\"stableKey\":\"auto-e259a22a\",\"rate\":782.267223016682,\"scheduledQuantity\":0,\"scheduledCost\":0,\"quantityVariance\":-8144,\"scheduleRows\":0},{\"code\":\"KQ-22-02\",\"name\":\"Монтаж основных металлоконструкций этажерок и структур, т\",\"unit\":\"ед.\",\"quantity\":1069.5776460000002,\"laborHours\":59795.407209627956,\"machineHours\":14815.611872802976,\"cost\":6369326.837193234,\"materialsCost\":1390.3152920000005,\"materialsRows\":3,\"sourceRows\":3,\"sourceKeys\":[\"auto-d1cfe051\",\"auto-0e2cab11\",\"auto-0f397897\"],\"stableKey\":\"auto-09c60f9f\",\"rate\":5954.9924785855455,\"scheduledQuantity\":1505.3,\"scheduledCost\":8964050.178014822,\"quantityVariance\":435.72235399999977,\"scheduleRows\":1},{\"code\":\"KQ-27-05\",\"name\":\"Монтаж блочных и комплектных установок, т\",\"unit\":\"ед.\",\"quantity\":672.16,\"laborHours\":31820.981203173462,\"machineHours\":7360.983768129044,\"cost\":4906748.828690244,\"materialsCost\":0,\"materialsRows\":5,\"sourceRows\":5,\"sourceKeys\":[\"auto-c703647e\",\"auto-c8036611\",\"auto-c5036158\",\"auto-c60362eb\",\"auto-d7669176\"],\"stableKey\":\"auto-ac586773\",\"rate\":7299.9714780561835,\"scheduledQuantity\":880.72,\"scheduledCost\":6429230.880153642,\"quantityVariance\":208.56000000000006,\"scheduleRows\":1},{\"code\":\"KQ-22-03\",\"name\":\"Монтаж основных металлоконструкций эстакад, т\",\"unit\":\"ед.\",\"quantity\":636.74,\"laborHours\":42270.3811757845,\"machineHours\":10452.70333410333,\"cost\":4494782.522297835,\"materialsCost\":0,\"materialsRows\":2,\"sourceRows\":2,\"sourceKeys\":[\"auto-d5ac7d3d\",\"auto-c3aa2250\"],\"stableKey\":\"auto-08c60e0c\",\"rate\":7059.054751229442,\"scheduledQuantity\":71.6,\"scheduledCost\":505428.32018802804,\"quantityVariance\":-565.14,\"scheduleRows\":1},{\"code\":\"KQ-49-01\",\"name\":\"Монтаж силового кабеля до 1 кВ, м\",\"unit\":\"ед.\",\"quantity\":155546.60000000003,\"laborHours\":61539.26604969505,\"machineHours\":6618.815508104845,\"cost\":4319120.165655789,\"materialsCost\":0,\"materialsRows\":27,\"sourceRows\":27,\"sourceKeys\":[\"auto-c2339d72\",\"auto-c3339f05\",\"auto-c433a098\",\"auto-c533a22b\",\"auto-56595747\",\"auto-555955b4\",\"auto-58595a6d\",\"auto-575958da\",\"auto-525950fb\",\"auto-51594f68\",\"auto-54595421\",\"auto-5359528e\",\"auto-4e594aaf\",\"auto-4d59491c\",\"auto-d05645be\",\"auto-d1564751\",\"auto-588f135b\",\"auto-55914d39\",\"auto-54914ba6\",\"auto-53914a13\",\"auto-52914880\",\"auto-59915385\",\"auto-589151f2\",\"auto-5791505f\",\"auto-56914ecc\",\"auto-5d9159d1\",\"auto-5c91583e\"],\"stableKey\":\"auto-fa5031ab\",\"rate\":27.767371100723437,\"scheduledQuantity\":26674.199999999997,\"scheduledCost\":740672.410214917,\"quantityVariance\":-128872.40000000004,\"scheduleRows\":1},{\"code\":\"KQ-40-02\",\"name\":\"Тепловая изоляция технологических трубопроводов, м2\",\"unit\":\"ед.\",\"quantity\":12487.019999999997,\"laborHours\":81267.80685073567,\"machineHours\":1702.2180696315736,\"cost\":4030584.783062427,\"materialsCost\":0,\"materialsRows\":6,\"sourceRows\":6,\"sourceKeys\":[\"auto-303559de\",\"auto-2f3796e2\",\"auto-30379875\",\"auto-eccfc3dd\",\"auto-ebcfc24a\",\"auto-6ad2c8ce\"],\"stableKey\":\"auto-8f6d3227\",\"rate\":322.7819594316681,\"scheduledQuantity\":0,\"scheduledCost\":0,\"quantityVariance\":-12487.019999999997,\"scheduleRows\":0},{\"code\":\"KQ-23-01\",\"name\":\"Монтаж второстепенных металлоконструкций, т\",\"unit\":\"ед.\",\"quantity\":330.68,\"laborHours\":45968.7224452249,\"machineHours\":7186.204449851053,\"cost\":4011206.410301411,\"materialsCost\":0,\"materialsRows\":5,\"sourceRows\":5,\"sourceKeys\":[\"auto-8c89c28a\",\"auto-8087710f\",\"auto-9ae25f00\",\"auto-14e9dad3\",\"auto-13e9d940\"],\"stableKey\":\"auto-083f36bb\",\"rate\":12130.175427305585,\"scheduledQuantity\":399.56,\"scheduledCost\":4846732.8937342195,\"quantityVariance\":68.88,\"scheduleRows\":1},{\"code\":\"KQ-38-03\",\"name\":\"АКЗ металлоконструкций, м2\",\"unit\":\"ед.\",\"quantity\":8863.16,\"laborHours\":68830.55015835894,\"machineHours\":1770.8629051305588,\"cost\":3824527.01059499,\"materialsCost\":0,\"materialsRows\":4,\"sourceRows\":4,\"sourceKeys\":[\"auto-6073e679\",\"auto-0556b5cb\",\"auto-8e5e493b\",\"auto-8d5e47a8\"],\"stableKey\":\"auto-73d48649\",\"rate\":431.50828943570804,\"scheduledQuantity\":1068.34,\"scheduledCost\":460997.56593574426,\"quantityVariance\":-7794.82,\"scheduleRows\":1},{\"code\":\"KQ-34-01\",\"name\":\"Монтаж теплоспутников трубопроводов, м\",\"unit\":\"ед.\",\"quantity\":10882.85,\"laborHours\":41830.653337276206,\"machineHours\":5306.0435583039325,\"cost\":3745892.985160243,\"materialsCost\":0,\"materialsRows\":2,\"sourceRows\":2,\"sourceKeys\":[\"auto-c72f5fc5\",\"auto-89917aa5\"],\"stableKey\":\"auto-e14295af\",\"rate\":344.20147159615755,\"scheduledQuantity\":0,\"scheduledCost\":0,\"quantityVariance\":-10882.85,\"scheduleRows\":0},{\"code\":\"KQ-09-03\",\"name\":\"Щитовое ограждение котлованов и траншей, м2\",\"unit\":\"ед.\",\"quantity\":5666.3,\"laborHours\":31438.921216246657,\"machineHours\":10231.67709582767,\"cost\":3678343.801654447,\"materialsCost\":0,\"materialsRows\":2,\"sourceRows\":2,\"sourceKeys\":[\"auto-05eb93e0\",\"auto-a6185009\"],\"stableKey\":\"auto-da7f2485\",\"rate\":649.1614989771891,\"scheduledQuantity\":0,\"scheduledCost\":0,\"quantityVariance\":-5666.3,\"scheduleRows\":0},{\"code\":\"KQ-09-01\",\"name\":\"Разработка грунта с погрузкой, м3\",\"unit\":\"ед.\",\"quantity\":22166.120000000003,\"laborHours\":15915.50926030692,\"machineHours\":17110.449126041305,\"cost\":3666964.7660708698,\"materialsCost\":0,\"materialsRows\":11,\"sourceRows\":11,\"sourceKeys\":[\"auto-5b7613af\",\"auto-60761b8e\",\"auto-61761d21\",\"auto-f2732fcd\",\"auto-f1732e3a\",\"auto-360f4073\",\"auto-370f4206\",\"auto-380f4399\",\"auto-390f452c\",\"auto-3a0f46bf\",\"auto-3b0f4852\"],\"stableKey\":\"auto-d87f215f\",\"rate\":165.43106173163682,\"scheduledQuantity\":18768.460000000003,\"scheduledCost\":3104886.264867757,\"quantityVariance\":-3397.66,\"scheduleRows\":1},{\"code\":\"KQ-11-02\",\"name\":\"Устройство буронабивных свай, м\",\"unit\":\"ед.\",\"quantity\":6546,\"laborHours\":29065.142223138922,\"machineHours\":19673.25043504216,\"cost\":3546886.813369462,\"materialsCost\":0,\"materialsRows\":6,\"sourceRows\":6,\"sourceKeys\":[\"auto-83bd6596\",\"auto-84bd6729\",\"auto-0db172e1\",\"auto-6453653c\",\"auto-655366cf\",\"auto-66536862\"],\"stableKey\":\"auto-500d00c9\",\"rate\":541.8403320148888,\"scheduledQuantity\":0,\"scheduledCost\":0,\"quantityVariance\":-6546,\"scheduleRows\":0},{\"code\":\"KQ-71-03\",\"name\":\"Устройство бетонных покрытий, м3\",\"unit\":\"ед.\",\"quantity\":1221.18,\"laborHours\":27817.010039823363,\"machineHours\":9458.98515684444,\"cost\":3308589.126079002,\"materialsCost\":0,\"materialsRows\":8,\"sourceRows\":8,\"sourceKeys\":[\"auto-868b1051\",\"auto-007f046c\",\"auto-ac5c81ae\",\"auto-ab5ebeb2\",\"auto-3061cea8\",\"auto-3561d687\",\"auto-3461d4f4\",\"auto-3761d9ad\"],\"stableKey\":\"auto-3f49dbe8\",\"rate\":2709.3377930190486,\"scheduledQuantity\":1793.04,\"scheduledCost\":4857951.036394875,\"quantityVariance\":571.8599999999999,\"scheduleRows\":1},{\"code\":\"KQ-25-01\",\"name\":\"Монтаж стеновых сэндвич панелей, м2\",\"unit\":\"ед.\",\"quantity\":5023.18,\"laborHours\":13142.627945281885,\"machineHours\":5519.393757972179,\"cost\":3195689.8568990156,\"materialsCost\":0,\"materialsRows\":2,\"sourceRows\":2,\"sourceKeys\":[\"auto-6b8511fa\",\"auto-2d8d62c8\"],\"stableKey\":\"auto-e55d1e2d\",\"rate\":636.1886010254491,\"scheduledQuantity\":3935.86,\"scheduledCost\":2503949.267232024,\"quantityVariance\":-1087.3200000000002,\"scheduleRows\":1},{\"code\":\"KQ-38-02\",\"name\":\"АКЗ трубопроводов, м2\",\"unit\":\"ед.\",\"quantity\":15160.459999999768,\"laborHours\":48244.14691713749,\"machineHours\":5041.818841841151,\"cost\":3118842.1133857607,\"materialsCost\":0,\"materialsRows\":13,\"sourceRows\":13,\"sourceKeys\":[\"auto-434fbedc\",\"auto-464fc395\",\"auto-454fc202\",\"auto-404fba23\",\"auto-1f8b9d07\",\"auto-1e8b9b74\",\"auto-1d8b99e1\",\"auto-1c8b984e\",\"auto-1b8b96bb\",\"auto-1a8b9528\",\"auto-198b9395\",\"auto-188b9202\",\"auto-9b888ea4\"],\"stableKey\":\"auto-72d484b6\",\"rate\":205.72212936717014,\"scheduledQuantity\":1708.56,\"scheduledCost\":351488.6013515722,\"quantityVariance\":-13451.899999999769,\"scheduleRows\":1},{\"code\":\"KQ-10-01\",\"name\":\"Обратная засыпка грунта с уплотнением, м3\",\"unit\":\"ед.\",\"quantity\":18143,\"laborHours\":18394.046531585118,\"machineHours\":8470.965615489924,\"cost\":2487103.5091137644,\"materialsCost\":0,\"materialsRows\":10,\"sourceRows\":10,\"sourceKeys\":[\"auto-a7be0ab3\",\"auto-a6be0920\",\"auto-adbe1425\",\"auto-acbe1292\",\"auto-21f85939\",\"auto-2af86764\",\"auto-2bf868f7\",\"auto-b91299a2\",\"auto-ba129b35\",\"auto-b712967c\"],\"stableKey\":\"auto-c16b4091\",\"rate\":137.08336598764066,\"scheduledQuantity\":18073.14,\"scheduledCost\":2477526.865165868,\"quantityVariance\":-69.86000000000058,\"scheduleRows\":1},{\"code\":\"KQ-35-01\",\"name\":\"Неразрушающий контроль стыков (РК), стык\",\"unit\":\"ед.\",\"quantity\":12653.600000000903,\"laborHours\":23807.895812945375,\"machineHours\":1367.1928397919212,\"cost\":2370186.6566766067,\"materialsCost\":0,\"materialsRows\":21,\"sourceRows\":21,\"sourceKeys\":[\"auto-a4b71c67\",\"auto-a5b71dfa\",\"auto-a6b71f8d\",\"auto-97b707f0\",\"auto-98b70983\",\"auto-a5b95c91\",\"auto-a4b95afe\",\"auto-a3b9596b\",\"auto-a2b957d8\",\"auto-a9b962dd\",\"auto-a8b9614a\",\"auto-602e5b43\",\"auto-612e5cd6\",\"auto-622e5e69\",\"auto-6b2e6c94\",\"auto-6c2e6e27\",\"auto-6930a805\",\"auto-6830a672\",\"auto-6730a4df\",\"auto-6630a34c\",\"auto-6530a1b9\"],\"stableKey\":\"auto-637a87c6\",\"rate\":187.31322759344675,\"scheduledQuantity\":13677.32,\"scheduledCost\":2561942.954028401,\"quantityVariance\":1023.7199999990971,\"scheduleRows\":1},{\"code\":\"KQ-49-04\",\"name\":\"Расключение силового кабеля до 1 кВ, шт. (конец кабеля)\",\"unit\":\"ед.\",\"quantity\":14154.800000000001,\"laborHours\":28131.54379885252,\"machineHours\":1337.4452036264838,\"cost\":1747233.2208219839,\"materialsCost\":0,\"materialsRows\":39,\"sourceRows\":39,\"sourceKeys\":[\"auto-50ef0622\",\"auto-51ef07b5\",\"auto-4aeefcb0\",\"auto-4beefe43\",\"auto-4ceeffd6\",\"auto-4def0169\",\"auto-56ef0f94\",\"auto-57ef1127\",\"auto-97aa670c\",\"auto-98aa689f\",\"auto-99aa6a32\",\"auto-9aaa6bc5\",\"auto-93aa60c0\",\"auto-94aa6253\",\"auto-95aa63e6\",\"auto-96aa6579\",\"auto-9faa73a4\",\"auto-a0aa7537\",\"auto-1dad7895\",\"auto-1cad7702\",\"auto-1bad756f\",\"auto-1aad73dc\",\"auto-19ad7249\",\"auto-18ad70b6\",\"auto-17ad6f23\",\"auto-16ad6d90\",\"auto-ec239f88\",\"auto-ed23a11b\",\"auto-ee23a2ae\",\"auto-ef23a441\",\"auto-f023a5d4\",\"auto-f123a767\",\"auto-f223a8fa\",\"auto-f323aa8d\",\"auto-e42392f0\",\"auto-e5239483\",\"auto-f225e791\",\"auto-f125e5fe\",\"auto-f025e46b\"],\"stableKey\":\"auto-fd503664\",\"rate\":123.43750676957525,\"scheduledQuantity\":6.12,\"scheduledCost\":755.4375414298006,\"quantityVariance\":-14148.68,\"scheduleRows\":1},{\"code\":\"KQ-33-06\",\"name\":\"Монтаж опор технологических трубопроводов, т\",\"unit\":\"ед.\",\"quantity\":37.04088000000074,\"laborHours\":18387.46950952642,\"machineHours\":702.4497218590182,\"cost\":1506892.7290409314,\"materialsCost\":0,\"materialsRows\":4,\"sourceRows\":4,\"sourceKeys\":[\"auto-54860eb2\",\"auto-4f8606d3\",\"auto-89cf46b5\",\"auto-86cf41fc\"],\"stableKey\":\"auto-e359a3bd\",\"rate\":40681.88253197282,\"scheduledQuantity\":0.14,\"scheduledCost\":5695.463554476195,\"quantityVariance\":-36.90088000000074,\"scheduleRows\":1},{\"code\":\"KQ-34-03\",\"name\":\"Монтаж стальных трубопроводов теплых полов технологических зон, м\",\"unit\":\"ед.\",\"quantity\":6720,\"laborHours\":26294.098110383147,\"machineHours\":256.3073206145964,\"cost\":1463827.684981726,\"materialsCost\":0,\"materialsRows\":2,\"sourceRows\":2,\"sourceKeys\":[\"auto-31f3c180\",\"auto-fe44a2fd\"],\"stableKey\":\"auto-e34298d5\",\"rate\":217.83150074132828,\"scheduledQuantity\":8149.96,\"scheduledCost\":1775318.017781796,\"quantityVariance\":1429.96,\"scheduleRows\":1},{\"code\":\"KQ-48-02\",\"name\":\"Монтаж оптического кабеля, м\",\"unit\":\"ед.\",\"quantity\":32034,\"laborHours\":14256.575992024707,\"machineHours\":3816.8600884131965,\"cost\":1307870.5610207007,\"materialsCost\":0,\"materialsRows\":5,\"sourceRows\":5,\"sourceKeys\":[\"auto-84fc582b\",\"auto-860da2df\",\"auto-4b9254ba\",\"auto-4c92564d\",\"auto-49925194\"],\"stableKey\":\"auto-3584a6cf\",\"rate\":40.82757573268093,\"scheduledQuantity\":0,\"scheduledCost\":0,\"quantityVariance\":-32034,\"scheduleRows\":0},{\"code\":\"KQ-24-01\",\"name\":\"Монтаж решетчатого настила, м2\",\"unit\":\"ед.\",\"quantity\":4894.6,\"laborHours\":14822.970754576032,\"machineHours\":2203.080126552659,\"cost\":1269468.918387839,\"materialsCost\":0,\"materialsRows\":2,\"sourceRows\":2,\"sourceKeys\":[\"auto-11a3ed4c\",\"auto-0846db87\"],\"stableKey\":\"auto-aaaae2ec\",\"rate\":259.3611160029091,\"scheduledQuantity\":371.5,\"scheduledCost\":96352.65459508073,\"quantityVariance\":-4523.1,\"scheduleRows\":1},{\"code\":\"KQ-60-01\",\"name\":\"Монтаж приборов КИПиА, шт.\",\"unit\":\"ед.\",\"quantity\":1846,\"laborHours\":16573.528387806196,\"machineHours\":2450.3341192226058,\"cost\":1253068.1157904717,\"materialsCost\":0,\"materialsRows\":38,\"sourceRows\":38,\"sourceKeys\":[\"auto-fbf12c64\",\"auto-c2f98511\",\"auto-c1f9837e\",\"auto-bcf97b9f\",\"auto-bbf97a0c\",\"auto-bef7402e\",\"auto-bff741c1\",\"auto-bcf73d08\",\"auto-bdf73e9b\",\"auto-c1f744e7\",\"auto-b6f73396\",\"auto-b7f73529\",\"auto-b0d6d679\",\"auto-afd6d4e6\",\"auto-aed6d353\",\"auto-add6d1c0\",\"auto-b2d6d99f\",\"auto-b1d6d80c\",\"auto-b8d6e311\",\"auto-aad48e70\",\"auto-abd49003\",\"auto-acd49196\",\"auto-7336b2c2\",\"auto-e92f1dbf\",\"auto-e62f1906\",\"auto-e72f1a99\",\"auto-e42f15e0\",\"auto-e52f1773\",\"auto-f22f2bea\",\"auto-f32f2d7d\",\"auto-694a2abc\",\"auto-684a2929\",\"auto-674a2796\",\"auto-664a2603\",\"auto-654a2470\",\"auto-744a3c0d\",\"auto-734a3a7a\",\"auto-6947ec25\"],\"stableKey\":\"auto-711d7d34\",\"rate\":678.8017962028557,\"scheduledQuantity\":12,\"scheduledCost\":8145.621554434269,\"quantityVariance\":-1834,\"scheduleRows\":1},{\"code\":\"KQ-97-11\",\"name\":\"Контурные тестирования КИПиА (технологические системы), шт.\",\"unit\":\"ед.\",\"quantity\":1968,\"laborHours\":13533.215509183276,\"machineHours\":210.23053613871224,\"cost\":1250704.4855983849,\"materialsCost\":0,\"materialsRows\":4,\"sourceRows\":4,\"sourceKeys\":[\"auto-416f091b\",\"auto-406f0788\",\"auto-7bba8794\",\"auto-6aa923b0\"],\"stableKey\":\"auto-b2abe653\",\"rate\":635.5205719503988,\"scheduledQuantity\":0,\"scheduledCost\":0,\"quantityVariance\":-1968,\"scheduleRows\":0},{\"code\":\"KQ-16-01\",\"name\":\"Устройство безусадочной подливки, м3\",\"unit\":\"ед.\",\"quantity\":122.29999999999998,\"laborHours\":17778.346132191113,\"machineHours\":1233.085467445822,\"cost\":1089620.627993491,\"materialsCost\":0,\"materialsRows\":6,\"sourceRows\":6,\"sourceKeys\":[\"auto-5194a81f\",\"auto-5294a9b2\",\"auto-5394ab45\",\"auto-20b22b94\",\"auto-23b2304d\",\"auto-22b22eba\"],\"stableKey\":\"auto-71a67987\",\"rate\":8909.408241974581,\"scheduledQuantity\":153.34,\"scheduledCost\":1366168.6598243823,\"quantityVariance\":31.04000000000002,\"scheduleRows\":1},{\"code\":\"KQ-41-02\",\"name\":\"Холодоизоляция технологических трубопроводов (пеностеклом), м2\",\"unit\":\"ед.\",\"quantity\":1900.34,\"laborHours\":19261.834789083834,\"machineHours\":289.76263909906083,\"cost\":938487.6739240232,\"materialsCost\":0,\"materialsRows\":7,\"sourceRows\":7,\"sourceKeys\":[\"auto-7912c0ce\",\"auto-7a12c261\",\"auto-7b12c3f4\",\"auto-3cc73f2f\",\"auto-3dc740c2\",\"auto-3ec74255\",\"auto-37c73750\"],\"stableKey\":\"auto-6da8f3f6\",\"rate\":493.85250740605534,\"scheduledQuantity\":0,\"scheduledCost\":0,\"quantityVariance\":-1900.34,\"scheduleRows\":0},{\"code\":\"KQ-27-02\",\"name\":\"Монтаж статического колонного и емкостного оборудования, т\",\"unit\":\"ед.\",\"quantity\":292.37999999999994,\"laborHours\":7508.413025387681,\"machineHours\":679.6070813319632,\"cost\":852678.9866597233,\"materialsCost\":0,\"materialsRows\":11,\"sourceRows\":11,\"sourceKeys\":[\"auto-263fb46f\",\"auto-233fafb6\",\"auto-243fb149\",\"auto-213fac90\",\"auto-223fae23\",\"auto-2f3fc29a\",\"auto-5b9eb2c1\",\"auto-2784810b\",\"auto-2884829e\",\"auto-2b848757\",\"auto-2a8485c4\"],\"stableKey\":\"auto-b1586f52\",\"rate\":2916.338281208439,\"scheduledQuantity\":246.68,\"scheduledCost\":719402.3272084978,\"quantityVariance\":-45.69999999999993,\"scheduleRows\":1},{\"code\":\"KQ-58-01\",\"name\":\"Монтаж щитового оборудования КИПиА, шт.\",\"unit\":\"ед.\",\"quantity\":266,\"laborHours\":9671.07253716272,\"machineHours\":2319.0983358366866,\"cost\":850859.5686839322,\"materialsCost\":0,\"materialsRows\":8,\"sourceRows\":8,\"sourceKeys\":[\"auto-a4a9765f\",\"auto-a3a974cc\",\"auto-a7a97b18\",\"auto-561a8106\",\"auto-541a7de0\",\"auto-5a1a8752\",\"auto-f69911f7\",\"auto-719c122f\"],\"stableKey\":\"auto-90ab64f5\",\"rate\":3198.7201830223016,\"scheduledQuantity\":22,\"scheduledCost\":70371.84402649064,\"quantityVariance\":-244,\"scheduleRows\":1},{\"code\":\"KQ-04-02\",\"name\":\"Транспортировка отходов на полигон или площадку складирования, т*км\",\"unit\":\"ед.\",\"quantity\":88890.71133333334,\"laborHours\":0,\"machineHours\":3693.0092605563923,\"cost\":844804.2124429859,\"materialsCost\":0,\"materialsRows\":4,\"sourceRows\":4,\"sourceKeys\":[\"auto-7d1a9ea0\",\"auto-759582ec\",\"auto-7695847f\",\"auto-77958612\"],\"stableKey\":\"auto-c445b657\",\"rate\":9.503852537246946,\"scheduledQuantity\":0,\"scheduledCost\":0,\"quantityVariance\":-88890.71133333334,\"scheduleRows\":0},{\"code\":\"KQ-59-01\",\"name\":\"Монтаж оконечных и распределительных устройств силовых сетей, шт.\",\"unit\":\"ед.\",\"quantity\":4428,\"laborHours\":12147.833412864615,\"machineHours\":987.7635066743237,\"cost\":809695.7969134757,\"materialsCost\":0,\"materialsRows\":10,\"sourceRows\":10,\"sourceKeys\":[\"auto-def283f1\",\"auto-dbf27f38\",\"auto-dff4c41b\",\"auto-e0f4c5ae\",\"auto-b068af9d\",\"auto-ae68ac77\",\"auto-ad68aae4\",\"auto-a4689cb9\",\"auto-f618c6cd\",\"auto-f418c3a7\"],\"stableKey\":\"auto-76490df4\",\"rate\":182.85812938425377,\"scheduledQuantity\":0,\"scheduledCost\":0,\"quantityVariance\":-4428,\"scheduleRows\":0},{\"code\":\"KQ-69-02\",\"name\":\"Отделка стен, м2\",\"unit\":\"ед.\",\"quantity\":2806.22,\"laborHours\":10238.368972884244,\"machineHours\":507.2295692483764,\"cost\":774797.723639311,\"materialsCost\":0,\"materialsRows\":3,\"sourceRows\":3,\"sourceKeys\":[\"auto-c292da43\",\"auto-cf92eeba\",\"auto-d092f04d\"],\"stableKey\":\"auto-4fd4ab04\",\"rate\":276.1001359976449,\"scheduledQuantity\":333.98,\"scheduledCost\":92211.92342049345,\"quantityVariance\":-2472.24,\"scheduleRows\":1},{\"code\":\"KQ-69-03\",\"name\":\"Устройство полов, м2\",\"unit\":\"ед.\",\"quantity\":404.84,\"laborHours\":9302.066802380741,\"machineHours\":539.3221742401262,\"cost\":739425.112386197,\"materialsCost\":0,\"materialsRows\":9,\"sourceRows\":9,\"sourceKeys\":[\"auto-1c9b4bec\",\"auto-9393b87c\",\"auto-9493ba0f\",\"auto-8f93b230\",\"auto-9093b3c3\",\"auto-9193b556\",\"auto-9395f713\",\"auto-9295f580\",\"auto-86a993d7\"],\"stableKey\":\"auto-50d4ac97\",\"rate\":1826.46258370269,\"scheduledQuantity\":3653.68,\"scheduledCost\":6673309.812822844,\"quantityVariance\":3248.8399999999997,\"scheduleRows\":1},{\"code\":\"KQ-27-13\",\"name\":\"Монтаж насосов, т\",\"unit\":\"ед.\",\"quantity\":66.60000000000001,\"laborHours\":7088.438045676793,\"machineHours\":784.7585866575497,\"cost\":652576.631254631,\"materialsCost\":0,\"mate</t>
        </is>
      </c>
    </row>
    <row r="9">
      <c r="A9" t="inlineStr">
        <is>
          <t xml:space="preserve">rialsRows\":6,\"sourceRows\":6,\"sourceKeys\":[\"auto-4bb442c9\",\"auto-4ab44136\",\"auto-55b45287\",\"auto-54b450f4\",\"auto-a4549101\",\"auto-a3548f6e\"],\"stableKey\":\"auto-b25aaf7c\",\"rate\":9798.447916736199,\"scheduledQuantity\":94.88,\"scheduledCost\":929676.7383399305,\"quantityVariance\":28.279999999999987,\"scheduleRows\":1},{\"code\":\"KQ-03-25\",\"name\":\"Демонтаж кабелей и проводов, м\",\"unit\":\"ед.\",\"quantity\":46704,\"laborHours\":1245.2708396369362,\"machineHours\":2441.5994360829013,\"cost\":627882.8801189667,\"materialsCost\":0,\"materialsRows\":9,\"sourceRows\":9,\"sourceKeys\":[\"auto-d07623c6\",\"auto-cf762233\",\"auto-ce7620a0\",\"auto-d5762ba5\",\"auto-d4762a12\",\"auto-148cac01\",\"auto-138caa6e\",\"auto-168caf27\",\"auto-158cad94\"],\"stableKey\":\"auto-6b30e4bf\",\"rate\":13.44387804297205,\"scheduledQuantity\":9780.48,\"scheduledCost\":131487.58032172726,\"quantityVariance\":-36923.520000000004,\"scheduleRows\":1},{\"code\":\"KQ-64-02\",\"name\":\"Монтаж стальных трубопроводов внутренних инженерных сетей, м\",\"unit\":\"ед.\",\"quantity\":1631.58,\"laborHours\":9953.099152072084,\"machineHours\":509.0136887841692,\"cost\":615085.5479953561,\"materialsCost\":0,\"materialsRows\":6,\"sourceRows\":6,\"sourceKeys\":[\"auto-58ced946\",\"auto-63ceea97\",\"auto-62cee904\",\"auto-55cc95f6\",\"auto-a21eec8a\",\"auto-a11eeaf7\"],\"stableKey\":\"auto-f25745c9\",\"rate\":376.9876732954291,\"scheduledQuantity\":0,\"scheduledCost\":0,\"quantityVariance\":-1631.58,\"scheduleRows\":0},{\"code\":\"KQ-69-06\",\"name\":\"Устройство фальшпола, м2\",\"unit\":\"ед.\",\"quantity\":1400,\"laborHours\":8159.730471330137,\"machineHours\":389.34757988244087,\"cost\":610757.2042530945,\"materialsCost\":0,\"materialsRows\":2,\"sourceRows\":2,\"sourceKeys\":[\"auto-a27e91ca\",\"auto-a17e9037\"],\"stableKey\":\"auto-4bd4a4b8\",\"rate\":436.2551458950675,\"scheduledQuantity\":0,\"scheduledCost\":0,\"quantityVariance\":-1400,\"scheduleRows\":0},{\"code\":\"KQ-35-02\",\"name\":\"Неразрушающий контроль стыков (все виды, кроме РК), стык\",\"unit\":\"ед.\",\"quantity\":4633,\"laborHours\":5961.620545575828,\"machineHours\":383.52170424816416,\"cost\":603478.8638859574,\"materialsCost\":0,\"materialsRows\":5,\"sourceRows\":5,\"sourceKeys\":[\"auto-121298b9\",\"auto-11129726\",\"auto-dbc7208c\",\"auto-dec72545\",\"auto-ddc723b2\"],\"stableKey\":\"auto-627a8633\",\"rate\":130.25660778889647,\"scheduledQuantity\":0,\"scheduledCost\":0,\"quantityVariance\":-4633,\"scheduleRows\":0},{\"code\":\"KQ-19-01\",\"name\":\"Монтаж трубопроводов подземных сетей (стальные), м\",\"unit\":\"ед.\",\"quantity\":782.6,\"laborHours\":7680.795633667002,\"machineHours\":1200.123244167782,\"cost\":594159.7757999678,\"materialsCost\":0,\"materialsRows\":7,\"sourceRows\":7,\"sourceKeys\":[\"auto-c154ecb5\",\"auto-ba54e1b0\",\"auto-bb54e343\",\"auto-bc54e4d6\",\"auto-bd54e669\",\"auto-c654f494\",\"auto-c754f627\"],\"stableKey\":\"auto-769cbd58\",\"rate\":759.2125936621106,\"scheduledQuantity\":0,\"scheduledCost\":0,\"quantityVariance\":-782.6,\"scheduleRows\":0},{\"code\":\"KQ-71-02\",\"name\":\"Устройство щебеночных оснований и покрытий, м3\",\"unit\":\"ед.\",\"quantity\":3389.1400000000003,\"laborHours\":3511.9353271243112,\"machineHours\":1962.1347062145192,\"cost\":565221.1981394439,\"materialsCost\":0,\"materialsRows\":4,\"sourceRows\":4,\"sourceKeys\":[\"auto-0631d790\",\"auto-1531ef2d\",\"auto-b1d3b62a\",\"auto-b2d3b7bd\"],\"stableKey\":\"auto-4049dd7b\",\"rate\":166.77422536084194,\"scheduledQuantity\":2326.66,\"scheduledCost\":388026.9191780565,\"quantityVariance\":-1062.4800000000005,\"scheduleRows\":1},{\"code\":\"KQ-71-05\",\"name\":\"Устройство покрытий из сборных ж/б плит, м2\",\"unit\":\"ед.\",\"quantity\":4078.368,\"laborHours\":6283.200000000001,\"machineHours\":799.6800000000001,\"cost\":532839.9892752132,\"materialsCost\":0,\"materialsRows\":1,\"sourceRows\":1,\"sourceKeys\":[\"auto-3e3a99d6\"],\"stableKey\":\"auto-4549e55a\",\"rate\":130.65029670574435,\"scheduledQuantity\":0,\"scheduledCost\":0,\"quantityVariance\":-4078.368,\"scheduleRows\":0},{\"code\":\"KQ-69-01\",\"name\":\"Кладка стен и перегородок, м3\",\"unit\":\"ед.\",\"quantity\":432.8,\"laborHours\":5137.336,\"machineHours\":527.1504,\"cost\":514109.6428615828,\"materialsCost\":865.6,\"materialsRows\":1,\"sourceRows\":1,\"sourceKeys\":[\"auto-6db5e2a4\"],\"stableKey\":\"auto-52d4afbd\",\"rate\":1187.8688605859122,\"scheduledQuantity\":451.06,\"scheduledCost\":535800.1282558816,\"quantityVariance\":18.25999999999999,\"scheduleRows\":1},{\"code\":\"KQ-03-13\",\"name\":\"Демонтаж инженерных и технологических трубопроводов, м\",\"unit\":\"ед.\",\"quantity\":3615.8999999999996,\"laborHours\":2092.2153639919325,\"machineHours\":1721.7529220573724,\"cost\":510378.21851648245,\"materialsCost\":0,\"materialsRows\":5,\"sourceRows\":5,\"sourceKeys\":[\"auto-43c0589e\",\"auto-d0c64b5d\",\"auto-c1c633c0\",\"auto-c2c63553\",\"auto-4fc951e1\"],\"stableKey\":\"auto-f938800e\",\"rate\":141.14832227563883,\"scheduledQuantity\":10,\"scheduledCost\":1411.4832227563884,\"quantityVariance\":-3605.8999999999996,\"scheduleRows\":1},{\"code\":\"KQ-27-10\",\"name\":\"Монтаж градирен, т\",\"unit\":\"ед.\",\"quantity\":104,\"laborHours\":7037.394312166562,\"machineHours\":104.57111970888003,\"cost\":510073.3769819844,\"materialsCost\":0,\"materialsRows\":1,\"sourceRows\":1,\"sourceKeys\":[\"auto-92ea2c4e\"],\"stableKey\":\"auto-b55ab435\",\"rate\":4904.5517017498505,\"scheduledQuantity\":0,\"scheduledCost\":0,\"quantityVariance\":-104,\"scheduleRows\":0},{\"code\":\"KQ-28-01\",\"name\":\"Монтаж грузоподъемного оборудования, шт.\",\"unit\":\"ед.\",\"quantity\":24,\"laborHours\":4859.8621105750235,\"machineHours\":595.1937697211937,\"cost\":503180.4078379804,\"materialsCost\":0,\"materialsRows\":1,\"sourceRows\":1,\"sourceKeys\":[\"auto-944c8ed4\"],\"stableKey\":\"auto-bb8bb8c0\",\"rate\":20965.850326582517,\"scheduledQuantity\":0,\"scheduledCost\":0,\"quantityVariance\":-24,\"scheduleRows\":0},{\"code\":\"KQ-97-19\",\"name\":\"Дополнительная очистка трубопроводов, м\",\"unit\":\"ед.\",\"quantity\":840,\"laborHours\":4968.574521096618,\"machineHours\":99.36622234780457,\"cost\":463063.10925193375,\"materialsCost\":0,\"materialsRows\":1,\"sourceRows\":1,\"sourceKeys\":[\"auto-7ee1ed87\"],\"stableKey\":\"auto-baabf2eb\",\"rate\":551.2656062523021,\"scheduledQuantity\":0,\"scheduledCost\":0,\"quantityVariance\":-840,\"scheduleRows\":0},{\"code\":\"KQ-01-01\",\"name\":\"Демонтаж дорог, площадок и тротуаров, м3\",\"unit\":\"ед.\",\"quantity\":1277.9479999999999,\"laborHours\":6071.928677056932,\"machineHours\":535.1927306488255,\"cost\":460570.94295955263,\"materialsCost\":0,\"materialsRows\":3,\"sourceRows\":3,\"sourceKeys\":[\"auto-e860ea3f\",\"auto-cb899a5c\",\"auto-cc899bef\"],\"stableKey\":\"auto-41f98617\",\"rate\":360.398813535099,\"scheduledQuantity\":3792.62,\"scheduledCost\":1366855.7481894873,\"quantityVariance\":2514.672,\"scheduleRows\":1},{\"code\":\"KQ-57-03\",\"name\":\"Монтаж щитового оборудования РУ, ВРУ, шт.\",\"unit\":\"ед.\",\"quantity\":112,\"laborHours\":5380.604731697435,\"machineHours\":777.5767461732659,\"cost\":404397.1071096413,\"materialsCost\":0,\"materialsRows\":7,\"sourceRows\":7,\"sourceKeys\":[\"auto-659aa5af\",\"auto-629aa0f6\",\"auto-639aa289\",\"auto-609a9dd0\",\"auto-619a9f63\",\"auto-6c9cef4b\",\"auto-a31e8172\"],\"stableKey\":\"auto-894d88dc\",\"rate\":3610.688456336083,\"scheduledQuantity\":13.34,\"scheduledCost\":48166.58400752335,\"quantityVariance\":-98.66,\"scheduleRows\":1},{\"code\":\"KQ-68-03\",\"name\":\"Устройство вентилируемых фасадов с облицовкой, м2\",\"unit\":\"ед.\",\"quantity\":1232,\"laborHours\":4890.492632779954,\"machineHours\":242.28492625212775,\"cost\":370092.4013764364,\"materialsCost\":0,\"materialsRows\":1,\"sourceRows\":1,\"sourceKeys\":[\"auto-126c0182\"],\"stableKey\":\"auto-6075a4e2\",\"rate\":300.3996764419127,\"scheduledQuantity\":0,\"scheduledCost\":0,\"quantityVariance\":-1232,\"scheduleRows\":0},{\"code\":\"KQ-12-01\",\"name\":\"Устройство подбетонки, м3\",\"unit\":\"ед.\",\"quantity\":522.5400000000001,\"laborHours\":5034.987825799066,\"machineHours\":384.4321803321059,\"cost\":348730.69253325684,\"materialsCost\":0,\"materialsRows\":4,\"sourceRows\":4,\"sourceKeys\":[\"auto-33284e38\",\"auto-303992a0\",\"auto-18198923\",\"auto-9712024b\"],\"stableKey\":\"auto-0d54dc43\",\"rate\":667.3760717519363,\"scheduledQuantity\":628.64,\"scheduledCost\":419539.2937461372,\"quantityVariance\":106.09999999999991,\"scheduleRows\":1},{\"code\":\"KQ-18-02\",\"name\":\"Монтаж сборных ж/б колодцев, м3\",\"unit\":\"ед.\",\"quantity\":85.96,\"laborHours\":4154.578187383801,\"machineHours\":447.4129771580479,\"cost\":315653.1160789126,\"materialsCost\":0,\"materialsRows\":1,\"sourceRows\":1,\"sourceKeys\":[\"auto-82a78b19\"],\"stableKey\":\"auto-47fb9440\",\"rate\":3672.093020927322,\"scheduledQuantity\":8.32,\"scheduledCost\":30551.81393411532,\"quantityVariance\":-77.63999999999999,\"scheduleRows\":1},{\"code\":\"KQ-09-02\",\"name\":\"Шпунтовое ограждение котлованов и траншей, т\",\"unit\":\"ед.\",\"quantity\":143.6,\"laborHours\":2169.2050713102226,\"machineHours\":683.2355435267862,\"cost\":300541.207078303,\"materialsCost\":0,\"materialsRows\":2,\"sourceRows\":2,\"sourceKeys\":[\"auto-5be93906\",\"auto-7504b3e0\"],\"stableKey\":\"auto-d97f22f2\",\"rate\":2092.9053417709124,\"scheduledQuantity\":225.8,\"scheduledCost\":472578.02617187204,\"quantityVariance\":82.20000000000002,\"scheduleRows\":1},{\"code\":\"KQ-27-04\",\"name\":\"Монтаж теплообменников, холодильников и пароводяных подогревателей, т\",\"unit\":\"ед.\",\"quantity\":61.22,\"laborHours\":2218.245294688743,\"machineHours\":510.2626364005381,\"cost\":300303.6984299749,\"materialsCost\":0,\"materialsRows\":7,\"sourceRows\":7,\"sourceKeys\":[\"auto-c18f6fe3\",\"auto-c08f6e50\",\"auto-c38f7309\",\"auto-c28f7176\",\"auto-c58f762f\",\"auto-6d2c98b0\",\"auto-702c9d69\"],\"stableKey\":\"auto-ab5865e0\",\"rate\":4905.320131165876,\"scheduledQuantity\":95.47999999999999,\"scheduledCost\":468359.9661237178,\"quantityVariance\":34.25999999999999,\"scheduleRows\":1},{\"code\":\"KQ-51-01\",\"name\":\"Монтаж проводника заземления (провод), м\",\"unit\":\"ед.\",\"quantity\":4352,\"laborHours\":3873.7185960557053,\"machineHours\":588.7742287099283,\"cost\":295039.70032479725,\"materialsCost\":0,\"materialsRows\":5,\"sourceRows\":5,\"sourceKeys\":[\"auto-de90e8e3\",\"auto-dd90e750\",\"auto-608de3f2\",\"auto-e73dffb3\",\"auto-ec3e0792\"],\"stableKey\":\"auto-63a1327c\",\"rate\":67.79404878786701,\"scheduledQuantity\":204,\"scheduledCost\":13829.98595272487,\"quantityVariance\":-4148,\"scheduleRows\":1},{\"code\":\"KQ-22-01\",\"name\":\"Монтаж основных металлоконструкций зданий, т\",\"unit\":\"ед.\",\"quantity\":54.239999999999995,\"laborHours\":2855.7092061072963,\"machineHours\":707.3881368940206,\"cost\":288699.5761317345,\"materialsCost\":0,\"materialsRows\":1,\"sourceRows\":1,\"sourceKeys\":[\"auto-c27e2ee2\"],\"stableKey\":\"auto-0ac61132\",\"rate\":5322.63230331369,\"scheduledQuantity\":3.72,\"scheduledCost\":19800.192168326925,\"quantityVariance\":-50.519999999999996,\"scheduleRows\":1},{\"code\":\"KQ-67-01\",\"name\":\"Монтаж кровли из профлиста, м2\",\"unit\":\"ед.\",\"quantity\":733.5799999999999,\"laborHours\":1386.7794950283612,\"machineHours\":454.104846911816,\"cost\":279198.207299694,\"materialsCost\":0,\"materialsRows\":3,\"sourceRows\":3,\"sourceKeys\":[\"auto-95785226\",\"auto-1f7b69fb\",\"auto-8689ad2d\"],\"stableKey\":\"auto-af9f2143\",\"rate\":380.5968092092124,\"scheduledQuantity\":0,\"scheduledCost\":0,\"quantityVariance\":-733.5799999999999,\"scheduleRows\":0},{\"code\":\"KQ-97-14\",\"name\":\"Конфигурирование и настройка оборудования, шт.\",\"unit\":\"ед.\",\"quantity\":108,\"laborHours\":3089.1554356857346,\"machineHours\":11.923946681736547,\"cost\":279182.88333694433,\"materialsCost\":0,\"materialsRows\":11,\"sourceRows\":11,\"sourceKeys\":[\"auto-625b9e8e\",\"auto-635ba021\",\"auto-605b9b68\",\"auto-b7fbe80d\",\"auto-b4fbe354\",\"auto-b5fbe4e7\",\"auto-b2fbe02e\",\"auto-b3fbe1c1\",\"auto-b0fbdd08\",\"auto-b1fbde9b\",\"auto-aefbd9e2\"],\"stableKey\":\"auto-b5abeb0c\",\"rate\":2585.0266975642994,\"scheduledQuantity\":0,\"scheduledCost\":0,\"quantityVariance\":-108,\"scheduleRows\":0},{\"code\":\"KQ-45-02\",\"name\":\"Монтаж стальных кабелепроводов, м\",\"unit\":\"ед.\",\"quantity\":6387,\"laborHours\":4245.465282479299,\"machineHours\":207.07496206926797,\"cost\":272746.6447467703,\"materialsCost\":0,\"materialsRows\":6,\"sourceRows\":6,\"sourceKeys\":[\"auto-245cf583\",\"auto-295cfd62\",\"auto-2a5cfef5\",\"auto-275cfa3c\",\"auto-2469c176\",\"auto-2b69cc7b\"],\"stableKey\":\"auto-5336fc3a\",\"rate\":42.70340453213877,\"scheduledQuantity\":0,\"scheduledCost\":0,\"quantityVariance\":-6387,\"scheduleRows\":0},{\"code\":\"KQ-66-03\",\"name\":\"Монтаж ворот на зданиях, м2\",\"unit\":\"ед.\",\"quantity\":196.98,\"laborHours\":3479.899939857786,\"machineHours\":172.4013026094593,\"cost\":263344.5384743579,\"materialsCost\":0,\"materialsRows\":1,\"sourceRows\":1,\"sourceKeys\":[\"auto-112dfdfe\"],\"stableKey\":\"auto-5026f474\",\"rate\":1336.9100338834294,\"scheduledQuantity\":0,\"scheduledCost\":0,\"quantityVariance\":-196.98,\"scheduleRows\":0},{\"code\":\"KQ-12-04\",\"name\":\"Мощение, м3\",\"unit\":\"ед.\",\"quantity\":305.48,\"laborHours\":2822.0906402950413,\"machineHours\":449.8961835327333,\"cost\":241915.61638832168,\"materialsCost\":0,\"materialsRows\":2,\"sourceRows\":2,\"sourceKeys\":[\"auto-81bec0b6\",\"auto-b1940c79\"],\"stableKey\":\"auto-1054e0fc\",\"rate\":791.9196555857067,\"scheduledQuantity\":0,\"scheduledCost\":0,\"quantityVariance\":-305.48,\"scheduleRows\":0},{\"code\":\"KQ-66-02\",\"name\":\"Монтаж дверей, люков и решеток, м2\",\"unit\":\"ед.\",\"quantity\":203.48,\"laborHours\":3114.7290776939217,\"machineHours\":154.3099972845589,\"cost\":235709.90707034225,\"materialsCost\":0,\"materialsRows\":3,\"sourceRows\":3,\"sourceKeys\":[\"auto-4bda0a1e\",\"auto-4ada088b\",\"auto-8597e322\"],\"stableKey\":\"auto-5126f607\",\"rate\":1158.393488649215,\"scheduledQuantity\":0,\"scheduledCost\":0,\"quantityVariance\":-203.48,\"scheduleRows\":0},{\"code\":\"KQ-46-02\",\"name\":\"Монтаж металлорукавов, м\",\"unit\":\"ед.\",\"quantity\":7210,\"laborHours\":3452.7072546648565,\"machineHours\":164.08429230754447,\"cost\":221060.5764353248,\"materialsCost\":0,\"materialsRows\":7,\"sourceRows\":7,\"sourceKeys\":[\"auto-26e4cf2e\",\"auto-27e4d0c1\",\"auto-24e4cc08\",\"auto-77483701\",\"auto-7648356e\",\"auto-754833db\",\"auto-74483248\"],\"stableKey\":\"auto-b263be0d\",\"rate\":30.660274124178198,\"scheduledQuantity\":324.21999999999997,\"scheduledCost\":9940.674076541054,\"quantityVariance\":-6885.78,\"scheduleRows\":1},{\"code\":\"KQ-60-03\",\"name\":\"Монтаж приборов охранно-пожарной сигнализации, оповещения и связи, шт.\",\"unit\":\"ед.\",\"quantity\":982,\"laborHours\":2900.212747648993,\"machineHours\":343.78530980486823,\"cost\":207837.3001212693,\"materialsCost\":0,\"materialsRows\":17,\"sourceRows\":17,\"sourceKeys\":[\"auto-79b76cde\",\"auto-7ab76e71\",\"auto-77b769b8\",\"auto-78b76b4b\",\"auto-75b76692\",\"auto-76b76825\",\"auto-63b988d3\",\"auto-62b98740\",\"auto-65b98bf9\",\"auto-64b98a66\",\"auto-66b98d8c\",\"auto-446bf644\",\"auto-456bf7d7\",\"auto-3a6be686\",\"auto-486e3b27\",\"auto-476e3994\",\"auto-496e3cba\"],\"stableKey\":\"auto-731d805a\",\"rate\":211.64694513367547,\"scheduledQuantity\":0,\"scheduledCost\":0,\"quantityVariance\":-982,\"scheduleRows\":0},{\"code\":\"KQ-71-11\",\"name\":\"Устройство щебеночных оснований, м3\",\"unit\":\"ед.\",\"quantity\":1376,\"laborHours\":853.12,\"machineHours\":825.6,\"cost\":203043.3502184942,\"materialsCost\":0,\"materialsRows\":1,\"sourceRows\":1,\"sourceKeys\":[\"auto-0c44a8ab\"],\"stableKey\":\"auto-bd46d0ab\",\"rate\":147.56057428669635,\"scheduledQuantity\":0,\"scheduledCost\":0,\"quantityVariance\":-1376,\"scheduleRows\":0},{\"code\":\"KQ-62-01\",\"name\":\"Монтаж воздуховодов, м2\",\"unit\":\"ед.\",\"quantity\":797.64,\"laborHours\":3109.758008500356,\"machineHours\":246.94363274753715,\"cost\":200089.80410840025,\"materialsCost\":0,\"materialsRows\":9,\"sourceRows\":9,\"sourceKeys\":[\"auto-689aac31\",\"auto-679aaa9e\",\"auto-27601259\",\"auto-266010c6\",\"auto-25600f33\",\"auto-6affce0b\",\"auto-69ffcc78\",\"auto-6cffd131\",\"auto-6bffcf9e\"],\"stableKey\":\"auto-40935bde\",\"rate\":250.8522693300239,\"scheduledQuantity\":68.08,\"scheduledCost\":17078.022495988025,\"quantityVariance\":-729.56,\"scheduleRows\":1},{\"code\":\"KQ-63-07\",\"name\":\"Монтаж устройств пожаротушения, шт.\",\"unit\":\"ед.\",\"quantity\":862,\"laborHours\":2582.811330795098,\"machineHours\":218.7760510225768,\"cost\":193794.53771902644,\"materialsCost\":0,\"materialsRows\":3,\"sourceRows\":3,\"sourceKeys\":[\"auto-9d82d02a\",\"auto-9e82d1bd\",\"auto-41b79c32\"],\"stableKey\":\"auto-11f0bb61\",\"rate\":224.81964932601676,\"scheduledQuantity\":0,\"scheduledCost\":0,\"quantityVariance\":-862,\"scheduleRows\":0},{\"code\":\"KQ-49-02\",\"name\":\"Монтаж силового кабеля от 1 до 35 кВ, м\",\"unit\":\"ед.\",\"quantity\":3872.0000000000005,\"laborHours\":2651.977922050999,\"machineHours\":322.5053344561421,\"cost\":191144.15851513908,\"materialsCost\":0,\"materialsRows\":3,\"sourceRows\":3,\"sourceKeys\":[\"auto-502fec2e\",\"auto-512fedc1\",\"auto-f05ad4c6\"],\"stableKey\":\"auto-fb50333e\",\"rate\":49.365743418166076,\"scheduledQuantity\":0,\"scheduledCost\":0,\"quantityVariance\":-3872.0000000000005,\"scheduleRows\":0},{\"code\":\"KQ-27-14\",\"name\":\"Монтаж механических фильтров и циклонов, т\",\"unit\":\"ед.\",\"quantity\":34.914,\"laborHours\":791.9746537722906,\"machineHours\":563.5611261775629,\"cost\":189786.342294275,\"materialsCost\":0,\"materialsRows\":6,\"sourceRows\":6,\"sourceKeys\":[\"auto-1947b6d6\",\"auto-1a47b869\",\"auto-1747b3b0\",\"auto-1847b543\",\"auto-e2cc6efd\",\"auto-cfdf7f51\"],\"stableKey\":\"auto-b15aade9\",\"rate\":5435.823517622587,\"scheduledQuantity\":29.98,\"scheduledCost\":162965.98905832515,\"quantityVariance\":-4.934000000000001,\"scheduleRows\":1},{\"code\":\"KQ-68-02\",\"name\":\"Утепление фасадов, м3\",\"unit\":\"ед.\",\"quantity\":186,\"laborHours\":2477.8930243738164,\"machineHours\":122.75984726917085,\"cost\":187516.76949631525,\"materialsCost\":0,\"materialsRows\":1,\"sourceRows\":1,\"sourceKeys\":[\"auto-dacfddb2\"],\"stableKey\":\"auto-6175a675\",\"rate\":1008.1546747113723,\"scheduledQuantity\":0,\"scheduledCost\":0,\"quantityVariance\":-186,\"scheduleRows\":0},{\"code\":\"KQ-03-10\",\"name\":\"Демонтаж инженерного и технологического оборудования, т\",\"unit\":\"ед.\",\"quantity\":12.540000000000001,\"laborHours\":1908.9177362639646,\"machineHours\":325.29045013590576,\"cost\":180718.9923197715,\"materialsCost\":0,\"materialsRows\":3,\"sourceRows\":3,\"sourceKeys\":[\"auto-b5600395\",\"auto-b4624099\",\"auto-b3623f06\"],\"stableKey\":\"auto-f8387e7b\",\"rate\":14411.402896313515,\"scheduledQuantity\":0.6,\"scheduledCost\":8646.841737788109,\"quantityVariance\":-11.940000000000001,\"scheduleRows\":1},{\"code\":\"KQ-03-08\",\"name\":\"Демонтаж черновой отделки, м2\",\"unit\":\"ед.\",\"quantity\":1400,\"laborHours\":2981.1447126579696,\"machineHours\":33.12207411593485,\"cost\":173594.81080340184,\"materialsCost\":0,\"materialsRows\":1,\"sourceRows\":1,\"sourceKeys\":[\"auto-fac9b269\"],\"stableKey\":\"auto-7a35798a\",\"rate\":123.9962934310013,\"scheduledQuantity\":1008.9,\"scheduledCost\":125099.86044253722,\"quantityVariance\":-391.1,\"scheduleRows\":1},{\"code\":\"KQ-11-07\",\"name\":\"Испытание свай, шт.\",\"unit\":\"ед.\",\"quantity\":72,\"laborHours\":13.784044053157686,\"machineHours\":1721.9523963180684,\"cost\":169544.39876945748,\"materialsCost\":0,\"materialsRows\":7,\"sourceRows\":7,\"sourceKeys\":[\"auto-f43ea422\",\"auto-ef3e9c43\",\"auto-ee3e9ab0\",\"auto-f13e9f69\",\"auto-0e5a208f\",\"auto-0b5a1bd6\",\"auto-0c5a1d69\"],\"stableKey\":\"auto-530d0582\",\"rate\":2354.783316242465,\"scheduledQuantity\":0,\"scheduledCost\":0,\"quantityVariance\":-72,\"scheduleRows\":0},{\"code\":\"KQ-25-02\",\"name\":\"Монтаж кровельных сэндвич панелей, м2\",\"unit\":\"ед.\",\"quantity\":296,\"laborHours\":634.1103960182222,\"machineHours\":288.49357405825435,\"cost\":164220.47861161834,\"materialsCost\":0,\"materialsRows\":1,\"sourceRows\":1,\"sourceKeys\":[\"auto-6fe3e2bd\"],\"stableKey\":\"auto-e25d1974\",\"rate\":554.7989142284404,\"scheduledQuantity\":0,\"scheduledCost\":0,\"quantityVariance\":-296,\"scheduleRows\":0},{\"code\":\"KQ-11-01\",\"name\":\"Погружение забивных свай (ж/б), м\",\"unit\":\"ед.\",\"quantity\":658.8,\"laborHours\":1743.6137056145078,\"machineHours\":669.9092214738041,\"cost\":162761.63929204273,\"materialsCost\":0,\"materialsRows\":2,\"sourceRows\":2,\"sourceKeys\":[\"auto-c606bfa4\",\"auto-c906c45d\"],\"stableKey\":\"auto-4d0cfc10\",\"rate\":247.0577402732889,\"scheduledQuantity\":0,\"scheduledCost\":0,\"quantityVariance\":-658.8,\"scheduleRows\":0},{\"code\":\"KQ-51-02\",\"name\":\"Монтаж проводника заземления (полоса), м\",\"unit\":\"ед.\",\"quantity\":6676,\"laborHours\":2396.7526887481167,\"machineHours\":209.9624150995278,\"cost\":161780.92151449804,\"materialsCost\":0,\"materialsRows\":6,\"sourceRows\":6,\"sourceKeys\":[\"auto-f27473c7\",\"auto-f374755a\",\"auto-f47476ed\",\"auto-043482bb\",\"auto-0534844e\",\"auto-063485e1\"],\"stableKey\":\"auto-66a13735\",\"rate\":24.233211730751655,\"scheduledQuantity\":3374.94,\"scheduledCost\":81785.63559858299,\"quantityVariance\":-3301.06,\"scheduleRows\":1},{\"code\":\"KQ-20-02\",\"name\":\"Устройство открытого подземного перехода (футляра), м\",\"unit\":\"ед.\",\"quantity\":116,\"laborHours\":2268.414527545997,\"machineHours\":265.02682701026174,\"cost\":158521.54059319734,\"materialsCost\":0,\"materialsRows\":2,\"sourceRows\":2,\"sourceKeys\":[\"auto-6a3a020d\",\"auto-6739fd54\"],\"stableKey\":\"auto-681c4841\",\"rate\":1366.5650051137702,\"scheduledQuantity\":10.2,\"scheduledCost\":13938.963052160456,\"quantityVariance\":-105.8,\"scheduleRows\":1},{\"code\":\"KQ-71-01\",\"name\":\"Укладка геоматериалов, м2\",\"unit\":\"ед.\",\"quantity\":8196.4,\"laborHours\":1448.899388524758,\"machineHours\":499.603823668981,\"cost\":158259.63714427015,\"materialsCost\":0,\"materialsRows\":3,\"sourceRows\":3,\"sourceKeys\":[\"auto-c9a5ac91\",\"auto-a784d3f1\",\"auto-e1bf62c4\"],\"stableKey\":\"auto-4149df0e\",\"rate\":19.30843262215975,\"scheduledQuantity\":10997.720000000001,\"scheduledCost\":212348.73561737873,\"quantityVariance\":2801.3200000000015,\"scheduleRows\":1},{\"code\":\"KQ-62-05\",\"name\":\"Тепловая изоляция воздуховодов, м2\",\"unit\":\"ед.\",\"quantity\":756,\"laborHours\":3124.718833671497,\"machineHours\":66.79116078892721,\"cost\":155173.14325351472,\"materialsCost\":0,\"materialsRows\":3,\"sourceRows\":3,\"sourceKeys\":[\"auto-9897e369\",\"auto-9797e1d6\",\"auto-a297f327\"],\"stableKey\":\"auto-4493622a\",\"rate\":205.2554804940671,\"scheduledQuantity\":0,\"scheduledCost\":0,\"quantityVariance\":-756,\"scheduleRows\":0},{\"code\":\"KQ-67-04\",\"name\":\"Устройство покрытий кровли из ПВХ мембраны или наплавляемых материалов, м2\",\"unit\":\"ед.\",\"quantity\":1710.9,\"laborHours\":1897.3449327214503,\"machineHours\":93.99831706482996,\"cost\":143583.2737347648,\"materialsCost\":0,\"materialsRows\":3,\"sourceRows\":3,\"sourceKeys\":[\"auto-6393f4b8\",\"auto-6493f64b\",\"auto-6593f7de\"],\"stableKey\":\"auto-b29f25fc\",\"rate\":83.92265692604174,\"scheduledQuantity\":0,\"scheduledCost\":0,\"quantityVariance\":-1710.9,\"scheduleRows\":0},{\"code\":\"KQ-12-03\",\"name\":\"Утепление строительных конструкций ниже 0, м3\",\"unit\":\"ед.\",\"quantity\":148.2,\"laborHours\":2278.0204382867832,\"machineHours\":119.67132864206644,\"cost\":142964.752269443,\"materialsCost\":0,\"materialsRows\":2,\"sourceRows\":2,\"sourceKeys\":[\"auto-38082623\",\"auto-5c04bb68\"],\"stableKey\":\"auto-0f54df69\",\"rate\":964.6744417641229,\"scheduledQuantity\":41.98,\"scheduledCost\":40497.03306525788,\"quantityVariance\":-106.22,\"scheduleRows\":1},{\"code\":\"KQ-50-01\",\"name\":\"Монтаж греющего кабеля, м\",\"unit\":\"ед.\",\"quantity\":6751.08,\"laborHours\":2046.6710879344066,\"machineHours\":211.405283294821,\"cost\":142471.36287877848,\"materialsCost\":0,\"materialsRows\":2,\"sourceRows\":2,\"sourceKeys\":[\"auto-f7b0fcab\",\"auto-bbb71208\"],\"stableKey\":\"auto-5800407d\",\"rate\":21.103492015911304,\"scheduledQuantity\":0,\"scheduledCost\":0,\"quantityVariance\":-6751.08,\"scheduleRows\":0},{\"code\":\"KQ-61-02\",\"name\":\"Монтаж основного оборудования кондиционирования, шт.\",\"unit\":\"ед.\",\"quantity\":12,\"laborHours\":1607.6217539045003,\"machineHours\":272.4318574514631,\"cost\":124867.57684173578,\"materialsCost\":0,\"materialsRows\":5,\"sourceRows\":5,\"sourceKeys\":[\"auto-ae2943df\",\"auto-af294572\",\"auto-a9293c00\",\"auto-f1db9680\",\"auto-00dbae1d\"],\"stableKey\":\"auto-887fcf7c\",\"rate\":10405.63140347798,\"scheduledQuantity\":0,\"scheduledCost\":0,\"quantityVariance\":-12,\"scheduleRows\":0},{\"code\":\"KQ-59-02\",\"name\":\"Монтаж оконечных и распределительных устройств слаботочных сетей, шт.\",\"unit\":\"ед.\",\"quantity\":970,\"laborHours\":1788.072919097219,\"machineHours\":175.06861161441154,\"cost\":123174.78027070747,\"materialsCost\":0,\"materialsRows\":9,\"sourceRows\":9,\"sourceKeys\":[\"auto-75302048\",\"auto-763021db\",\"auto-7730236e\",\"auto-f4967860\",\"auto-fe98c6b5\",\"auto-1eb4a60f\",\"auto-1db4a47c\",\"auto-20b4a935\",\"auto-b230e3f2\"],\"stableKey\":\"auto-794912ad\",\"rate\":126.98430955743038,\"scheduledQuantity\":1.94,\"scheduledCost\":246.34956054141492,\"quantityVariance\":-968.06,\"scheduleRows\":1},{\"code\":\"KQ-48-05\",\"name\":\"Расключение оптического кабеля, шт. (конец кабеля)\",\"unit\":\"ед.\",\"quantity\":45.666666666666664,\"laborHours\":1951.4551097488643,\"machineHours\":59.58337831730269,\"cost\":116737.03619922638,\"materialsCost\":0,\"materialsRows\":5,\"sourceRows\":5,\"sourceKeys\":[\"auto-7472cc91\",\"auto-7372cafe\",\"auto-bf3ba72f\",\"auto-be3ba59c\",\"auto-4138a23e\"],\"stableKey\":\"auto-3284a216\",\"rate\":2556.2854642166362,\"scheduledQuantity\":0,\"scheduledCost\":0,\"quantityVariance\":-45.666666666666664,\"scheduleRows\":0},{\"code\":\"KQ-60-02\",\"name\":\"Монтаж импульсных трубок, м\",\"unit\":\"ед.\",\"quantity\":3514,\"laborHours\":1146.881766138014,\"machineHours\":364.7656601284476,\"cost\":112979.0624492476,\"materialsCost\":0,\"materialsRows\":2,\"sourceRows\":2,\"sourceKeys\":[\"auto-f51d88ee\",\"auto-a1a2136e\"],\"stableKey\":\"auto-741d81ed\",\"rate\":32.15112761788492,\"scheduledQuantity\":0,\"scheduledCost\":0,\"quantityVariance\":-3514,\"scheduleRows\":0},{\"code\":\"KQ-60-07\",\"name\":\"Монтаж мультимедийного оборудования и оргтехники, шт.\",\"unit\":\"ед.\",\"quantity\":56,\"laborHours\":1833.4363749607287,\"machineHours\":52.96625437723105,\"cost\":109271.56439033078,\"materialsCost\":0,\"materialsRows\":3,\"sourceRows\":3,\"sourceKeys\":[\"auto-17ff2847\",\"auto-548bc2b3\",\"auto-eacd10f9\"],\"stableKey\":\"auto-6f1d7a0e\",\"rate\":1951.277935541621,\"scheduledQuantity\":0,\"scheduledCost\":0,\"quantityVariance\":-56,\"scheduleRows\":0},{\"code\":\"KQ-27-11\",\"name\":\"Монтаж газодувок, вентиляторов и дымососов, т\",\"unit\":\"ед.\",\"quantity\":20,\"laborHours\":1113.4060551477014,\"machineHours\":103.15160224676856,\"cost\":105448.75050038568,\"materialsCost\":0,\"materialsRows\":1,\"sourceRows\":1,\"sourceKeys\":[\"auto-335c460c\"],\"stableKey\":\"auto-b45ab2a2\",\"rate\":5272.437525019284,\"scheduledQuantity\":0,\"scheduledCost\":0,\"quantityVariance\":-20,\"scheduleRows\":0},{\"code\":\"KQ-50-02\",\"name\":\"Расключение греющего кабеля, шт. (конец кабеля)\",\"unit\":\"ед.\",\"quantity\":1092,\"laborHours\":1444.464694851149,\"machineHours\":92.81674621730491,\"cost\":92963.62308099405,\"materialsCost\":0,\"materialsRows\":4,\"sourceRows\":4,\"sourceKeys\":[\"auto-704e89a3\",\"auto-6f4e8810\",\"auto-77959e48\",\"auto-76959cb5\"],\"stableKey\":\"auto-55003bc4\",\"rate\":85.13152296794327,\"scheduledQuantity\":0,\"scheduledCost\":0,\"quantityVariance\":-1092,\"scheduleRows\":0},{\"code\":\"KQ-55-01\",\"name\":\"Монтаж ИБП, шт.\",\"unit\":\"ед.\",\"quantity\":10,\"laborHours\":1051.208409392013,\"machineHours\":210.23053613871224,\"cost\":86854.15452723118,\"materialsCost\":0,\"materialsRows\":4,\"sourceRows\":4,\"sourceKeys\":[\"auto-5d9e88ee\",\"auto-5e9e8a81\",\"auto-6b01eef9\",\"auto-6a01ed66\"],\"stableKey\":\"auto-1e129318\",\"rate\":8685.415452723119,\"scheduledQuantity\":0,\"scheduledCost\":0,\"quantityVariance\":-10,\"scheduleRows\":0},{\"code\":\"KQ-27-19\",\"name\":\"Монтаж ВКУ технологического оборудования, т\",\"unit\":\"ед.\",\"quantity\":2.8,\"laborHours\":1053.404046132764,\"machineHours\":72.86856305505667,\"cost\":83621.85072953696,\"materialsCost\":0,\"materialsRows\":1,\"sourceRows\":1,\"sourceKeys\":[\"auto-037ec6c1\"],\"stableKey\":\"auto-bc5abf3a\",\"rate\":29864.946689120345,\"scheduledQuantity\":3.64,\"scheduledCost\":108708.40594839805,\"quantityVariance\":0.8400000000000003,\"scheduleRows\":1},{\"code\":\"KQ-68-05\",\"name\":\"Облицовка фасадов плиткой, м2\",\"unit\":\"ед.\",\"quantity\":172,\"laborHours\":1118.366747068907,\"machineHours\":52.767769003223144,\"cost\":83440.50124077844,\"materialsCost\":0,\"materialsRows\":1,\"sourceRows\":1,\"sourceKeys\":[\"auto-a232528b\"],\"stableKey\":\"auto-5a759b70\",\"rate\":485.1191932603397,\"scheduledQuantity\":0,\"scheduledCost\":0,\"quantityVariance\":-172,\"scheduleRows\":0},{\"code\":\"KQ-69-04\",\"name\":\"Устройство потолков, м2\",\"unit\":\"ед.\",\"quantity\":0,\"laborHours\":940.7284796712497,\"machineHours\":46.605597316044566,\"cost\":71190.46857388492,\"materialsCost\":0,\"materialsRows\":1,\"sourceRows\":1,\"sourceKeys\":[\"auto-21ecc123\"],\"stableKey\":\"auto-4dd</t>
        </is>
      </c>
    </row>
    <row r="10">
      <c r="A10" t="inlineStr">
        <is>
          <t xml:space="preserve">4a7de\",\"rate\":0,\"scheduledQuantity\":0,\"scheduledCost\":0,\"quantityVariance\":0,\"scheduleRows\":0},{\"code\":\"KQ-64-05\",\"name\":\"Монтаж запорно-регулирующей и распределительной арматуры внутр. инженерных сетей, шт.\",\"unit\":\"ед.\",\"quantity\":84,\"laborHours\":1058.3719386044554,\"machineHours\":82.81355766973212,\"cost\":68580.50908876825,\"materialsCost\":0,\"materialsRows\":9,\"sourceRows\":9,\"sourceKeys\":[\"auto-01512f92\",\"auto-00512dff\",\"auto-f94ee463\",\"auto-6bb58ba7\",\"auto-6db58ecd\",\"auto-3df0e03f\",\"auto-3feea4ce\",\"auto-42584782\",\"auto-3d583fa3\"],\"stableKey\":\"auto-f357475c\",\"rate\":816.4346320091457,\"scheduledQuantity\":0,\"scheduledCost\":0,\"quantityVariance\":-84,\"scheduleRows\":0},{\"code\":\"KQ-60-04\",\"name\":\"Монтаж оборудования оповещения и связи, шт.\",\"unit\":\"ед.\",\"quantity\":166,\"laborHours\":872.599164321023,\"machineHours\":142.1558399362459,\"cost\":67743.13337604914,\"materialsCost\":0,\"materialsRows\":6,\"sourceRows\":6,\"sourceKeys\":[\"auto-4ada15b7\",\"auto-47da10fe\",\"auto-48da1291\",\"auto-ec4d45c5\",\"auto-e94d410c\",\"auto-ea4d429f\"],\"stableKey\":\"auto-6e1d787b\",\"rate\":408.0911649159587,\"scheduledQuantity\":0,\"scheduledCost\":0,\"quantityVariance\":-166,\"scheduleRows\":0},{\"code\":\"KQ-61-01\",\"name\":\"Монтаж основного вентиляционного оборудования, шт.\",\"unit\":\"ед.\",\"quantity\":20,\"laborHours\":933.1011944687249,\"machineHours\":85.04885478301642,\"cost\":61659.22961005035,\"materialsCost\":0,\"materialsRows\":6,\"sourceRows\":6,\"sourceKeys\":[\"auto-0943e2e1\",\"auto-0843e14e\",\"auto-8f63767e\",\"auto-8e6374eb\",\"auto-94637e5d\",\"auto-cf50b729\"],\"stableKey\":\"auto-8b7fd435\",\"rate\":3082.9614805025176,\"scheduledQuantity\":0,\"scheduledCost\":0,\"quantityVariance\":-20,\"scheduleRows\":0},{\"code\":\"KQ-58-02\",\"name\":\"Монтаж щитового оборудования телекоммуникационных сетей, шт.\",\"unit\":\"ед.\",\"quantity\":4,\"laborHours\":903.208136769061,\"machineHours\":81.07467239441681,\"cost\":61229.13198553517,\"materialsCost\":0,\"materialsRows\":8,\"sourceRows\":8,\"sourceKeys\":[\"auto-2c869a28\",\"auto-bd0511e9\",\"auto-ba050d30\",\"auto-bb050ec3\",\"auto-f7509062\",\"auto-f6508ecf\",\"auto-f3508a16\",\"auto-f4508ba9\"],\"stableKey\":\"auto-8dab603c\",\"rate\":15307.282996383792,\"scheduledQuantity\":0,\"scheduledCost\":0,\"quantityVariance\":-4,\"scheduleRows\":0},{\"code\":\"KQ-57-02\",\"name\":\"Монтаж силовых шкафов электрообогрева, шт.\",\"unit\":\"ед.\",\"quantity\":14,\"laborHours\":720.3959858016658,\"machineHours\":144.93547800806266,\"cost\":59637.64046665866,\"materialsCost\":0,\"materialsRows\":3,\"sourceRows\":3,\"sourceKeys\":[\"auto-28447761\",\"auto-254472a8\",\"auto-8f54f92a\"],\"stableKey\":\"auto-8a4d8a6f\",\"rate\":4259.83146190419,\"scheduledQuantity\":0,\"scheduledCost\":0,\"quantityVariance\":-14,\"scheduleRows\":0},{\"code\":\"KQ-63-06\",\"name\":\"Монтаж противопожарного оборудования, шт.\",\"unit\":\"ед.\",\"quantity\":0,\"laborHours\":806.3264921776156,\"machineHours\":63.02952586504574,\"cost\":59345.59049913474,\"materialsCost\":0,\"materialsRows\":3,\"sourceRows\":3,\"sourceKeys\":[\"auto-2c70fd72\",\"auto-61d84a89\",\"auto-60d848f6\"],\"stableKey\":\"auto-10f0b9ce\",\"rate\":0,\"scheduledQuantity\":0,\"scheduledCost\":0,\"quantityVariance\":0,\"scheduleRows\":0},{\"code\":\"KQ-05-01\",\"name\":\"Расчистка и планировка площадки строительства, м2\",\"unit\":\"ед.\",\"quantity\":3050,\"laborHours\":721.626299492604,\"machineHours\":34.33641319325759,\"cost\":48041.58634685188,\"materialsCost\":0,\"materialsRows\":1,\"sourceRows\":1,\"sourceKeys\":[\"auto-7e98811b\"],\"stableKey\":\"auto-dc6ab453\",\"rate\":15.751339785853075,\"scheduledQuantity\":6892,\"scheduledCost\":108558.2338040994,\"quantityVariance\":3842,\"scheduleRows\":1},{\"code\":\"KQ-67-02\",\"name\":\"Утепление кровли, м3\",\"unit\":\"ед.\",\"quantity\":82.08,\"laborHours\":627.1523197808332,\"machineHours\":31.07039821069638,\"cost\":47460.31238258994,\"materialsCost\":0,\"materialsRows\":1,\"sourceRows\":1,\"sourceKeys\":[\"auto-00bea9a3\"],\"stableKey\":\"auto-b09f22d6\",\"rate\":578.22018009978,\"scheduledQuantity\":0,\"scheduledCost\":0,\"quantityVariance\":-82.08,\"scheduleRows\":0},{\"code\":\"KQ-67-03\",\"name\":\"Устройство стяжки или цементно-стружечных плит на кровле, м2\",\"unit\":\"ед.\",\"quantity\":238,\"laborHours\":619.7481512708847,\"machineHours\":30.980873346766458,\"cost\":47025.36842586583,\"materialsCost\":0,\"materialsRows\":2,\"sourceRows\":2,\"sourceKeys\":[\"auto-b61159fe\",\"auto-b7115b91\"],\"stableKey\":\"auto-b19f2469\",\"rate\":197.585581621285,\"scheduledQuantity\":0,\"scheduledCost\":0,\"quantityVariance\":-238,\"scheduleRows\":0},{\"code\":\"KQ-57-01\",\"name\":\"Монтаж малых силовых шкафов, шт.\",\"unit\":\"ед.\",\"quantity\":120,\"laborHours\":630.7428767868842,\"machineHours\":40.557573110526576,\"cost\":40597.454903962374,\"materialsCost\":0,\"materialsRows\":2,\"sourceRows\":2,\"sourceKeys\":[\"auto-dc820892\",\"auto-9d06b28e\"],\"stableKey\":\"auto-8b4d8c02\",\"rate\":338.3121241996865,\"scheduledQuantity\":2,\"scheduledCost\":676.624248399373,\"quantityVariance\":-118,\"scheduleRows\":1},{\"code\":\"KQ-71-04\",\"name\":\"Устройство асфальтобетонных покрытий, м2\",\"unit\":\"ед.\",\"quantity\":566.8,\"laborHours\":228.68293846933594,\"machineHours\":141.9104187677778,\"cost\":39469.50985036055,\"materialsCost\":0,\"materialsRows\":1,\"sourceRows\":1,\"sourceKeys\":[\"auto-82269fb3\"],\"stableKey\":\"auto-4649e6ed\",\"rate\":69.63569133796851,\"scheduledQuantity\":0,\"scheduledCost\":0,\"quantityVariance\":-566.8,\"scheduleRows\":0},{\"code\":\"KQ-62-02\",\"name\":\"Монтаж вентиляционных клапанов и заслонок, шт.\",\"unit\":\"ед.\",\"quantity\":162,\"laborHours\":519.6869663993226,\"machineHours\":60.84095708417986,\"cost\":36335.17970686599,\"materialsCost\":0,\"materialsRows\":14,\"sourceRows\":14,\"sourceKeys\":[\"auto-57b9bf5f\",\"auto-5cb9c73e\",\"auto-5db9c8d1\",\"auto-dabccc2f\",\"auto-d9bcca9c\",\"auto-dcbccf55\",\"auto-dbbccdc2\",\"auto-d6bcc5e3\",\"auto-d5bcc450\",\"auto-d8bcc909\",\"auto-d7bcc776\",\"auto-347d162a\",\"auto-337d1497\",\"auto-327d1304\"],\"stableKey\":\"auto-3f935a4b\",\"rate\":224.29123275843202,\"scheduledQuantity\":2,\"scheduledCost\":448.58246551686403,\"quantityVariance\":-160,\"scheduleRows\":1},{\"code\":\"KQ-56-02\",\"name\":\"Монтаж осветительных приборов внутреннего исполнения (штучные), шт.\",\"unit\":\"ед.\",\"quantity\":890,\"laborHours\":532.272446817882,\"machineHours\":28.3651918440076,\"cost\":33470.83132096814,\"materialsCost\":0,\"materialsRows\":5,\"sourceRows\":5,\"sourceKeys\":[\"auto-32e97e58\",\"auto-35e98311\",\"auto-34e9817e\",\"auto-b8315957\",\"auto-b73157c4\"],\"stableKey\":\"auto-c23587de\",\"rate\":37.607675641537234,\"scheduledQuantity\":0,\"scheduledCost\":0,\"quantityVariance\":-890,\"scheduleRows\":0},{\"code\":\"KQ-67-07\",\"name\":\"Устройство кровельной водосточной системы, м\",\"unit\":\"ед.\",\"quantity\":268,\"laborHours\":404.6223446309326,\"machineHours\":20.045811800587895,\"cost\":30620.157603612064,\"materialsCost\":0,\"materialsRows\":4,\"sourceRows\":4,\"sourceKeys\":[\"auto-2d6dce7d\",\"auto-2a70085b\",\"auto-297006c8\",\"auto-2c700b81\"],\"stableKey\":\"auto-b59f2ab5\",\"rate\":114.25431941646292,\"scheduledQuantity\":0,\"scheduledCost\":0,\"quantityVariance\":-268,\"scheduleRows\":0},{\"code\":\"KQ-64-01\",\"name\":\"Монтаж пластиковых трубопроводов внутренних инженерных сетей, м\",\"unit\":\"ед.\",\"quantity\":126,\"laborHours\":515.1418063472973,\"machineHours\":17.157555718222426,\"cost\":30475.016556803308,\"materialsCost\":0,\"materialsRows\":1,\"sourceRows\":1,\"sourceKeys\":[\"auto-f9b5820b\"],\"stableKey\":\"auto-ef574110\",\"rate\":241.86521076828024,\"scheduledQuantity\":84,\"scheduledCost\":20316.67770453554,\"quantityVariance\":-42,\"scheduleRows\":1},{\"code\":\"KQ-33-08\",\"name\":\"Резьбовые соединения технологических трубопроводов, DI\",\"unit\":\"ед.\",\"quantity\":192,\"laborHours\":351.4149027442995,\"machineHours\":14.163732388430883,\"cost\":29099.150834415464,\"materialsCost\":0,\"materialsRows\":2,\"sourceRows\":2,\"sourceKeys\":[\"auto-69dc0905\",\"auto-458e6e97\"],\"stableKey\":\"auto-d5598db3\",\"rate\":151.55807726258055,\"scheduledQuantity\":0,\"scheduledCost\":0,\"quantityVariance\":-192,\"scheduleRows\":0},{\"code\":\"KQ-19-05\",\"name\":\"Монтаж запорно-регулирующей арматуры наружн. инженерных сетей, шт.\",\"unit\":\"ед.\",\"quantity\":10,\"laborHours\":488.3473673284151,\"machineHours\":11.465306613214084,\"cost\":28179.429820844038,\"materialsCost\":0,\"materialsRows\":2,\"sourceRows\":2,\"sourceKeys\":[\"auto-aa9f77ce\",\"auto-ea50e7cc\"],\"stableKey\":\"auto-7a9cc3a4\",\"rate\":2817.942982084404,\"scheduledQuantity\":0,\"scheduledCost\":0,\"quantityVariance\":-10,\"scheduleRows\":0},{\"code\":\"KQ-60-05\",\"name\":\"Монтаж оборудования видеонаблюдения, шт.\",\"unit\":\"ед.\",\"quantity\":102,\"laborHours\":390.34131990591806,\"machineHours\":43.82523595207009,\"cost\":27643.931827178625,\"materialsCost\":0,\"materialsRows\":4,\"sourceRows\":4,\"sourceKeys\":[\"auto-98bc5192\",\"auto-99bc5325\",\"auto-562fadb4\",\"auto-572faf47\"],\"stableKey\":\"auto-6d1d76e8\",\"rate\":271.01893948214337,\"scheduledQuantity\":0,\"scheduledCost\":0,\"quantityVariance\":-102,\"scheduleRows\":0},{\"code\":\"KQ-62-03\",\"name\":\"Монтаж оконечных устройств воздухораспределения, шт.\",\"unit\":\"ед.\",\"quantity\":96,\"laborHours\":443.43474113558034,\"machineHours\":19.487920190043017,\"cost\":26204.13200306044,\"materialsCost\":0,\"materialsRows\":3,\"sourceRows\":3,\"sourceKeys\":[\"auto-7ca60806\",\"auto-1bffc68b\",\"auto-12ffb860\"],\"stableKey\":\"auto-3e9358b8\",\"rate\":272.9597083652129,\"scheduledQuantity\":0,\"scheduledCost\":0,\"quantityVariance\":-96,\"scheduleRows\":0},{\"code\":\"KQ-27-03\",\"name\":\"Монтаж динамического колонного и емкостного оборудования, т\",\"unit\":\"ед.\",\"quantity\":21.8,\"laborHours\":270.7972041478084,\"machineHours\":24.707035888626123,\"cost\":25533.942594410863,\"materialsCost\":0,\"materialsRows\":1,\"sourceRows\":1,\"sourceKeys\":[\"auto-52173cf1\"],\"stableKey\":\"auto-b25870e5\",\"rate\":1171.2817703858193,\"scheduledQuantity\":24.72,\"scheduledCost\":28954.08536393745,\"quantityVariance\":2.919999999999998,\"scheduleRows\":1},{\"code\":\"KQ-43-01\",\"name\":\"Изоляция запорной арматуры термочехлами, шт.\",\"unit\":\"ед.\",\"quantity\":124,\"laborHours\":455.28113031348545,\"machineHours\":18.094317621618003,\"cost\":23847.03880653988,\"materialsCost\":0,\"materialsRows\":4,\"sourceRows\":4,\"sourceKeys\":[\"auto-d2741cb9\",\"auto-d1741b26\",\"auto-d0741993\",\"auto-cf741800\"],\"stableKey\":\"auto-955630b1\",\"rate\":192.31482908499905,\"scheduledQuantity\":0,\"scheduledCost\":0,\"quantityVariance\":-124,\"scheduleRows\":0},{\"code\":\"KQ-38-05\",\"name\":\"Опознавательная окраска трубопроводов и оборудования, м2\",\"unit\":\"ед.\",\"quantity\":77.11999999999999,\"laborHours\":319.31372255580925,\"machineHours\":45.219613012735245,\"cost\":22008.844855180654,\"materialsCost\":0,\"materialsRows\":1,\"sourceRows\":1,\"sourceKeys\":[\"auto-13f0f208\"],\"stableKey\":\"auto-75d4896f\",\"rate\":285.38439905576575,\"scheduledQuantity\":0,\"scheduledCost\":0,\"quantityVariance\":-77.11999999999999,\"scheduleRows\":0},{\"code\":\"KQ-49-05\",\"name\":\"Расключение силового кабеля от 1 до 35 кВ, шт. (конец кабеля)\",\"unit\":\"ед.\",\"quantity\":26.400000000000002,\"laborHours\":279.9153721758509,\"machineHours\":14.473677345998482,\"cost\":17542.247290225918,\"materialsCost\":0,\"materialsRows\":3,\"sourceRows\":3,\"sourceKeys\":[\"auto-8654cf8b\",\"auto-8554cdf8\",\"auto-d3f50c72\"],\"stableKey\":\"auto-fe5037f7\",\"rate\":664.4790640237089,\"scheduledQuantity\":0,\"scheduledCost\":0,\"quantityVariance\":-26.400000000000002,\"scheduleRows\":0},{\"code\":\"KQ-20-03\",\"name\":\"Протаскивание труб в футляр, м\",\"unit\":\"ед.\",\"quantity\":60,\"laborHours\":197.3295207641031,\"machineHours\":32.67608538796379,\"cost\":15213.952957579131,\"materialsCost\":0,\"materialsRows\":2,\"sourceRows\":2,\"sourceKeys\":[\"auto-961d088d\",\"auto-871cf0f0\"],\"stableKey\":\"auto-671c46ae\",\"rate\":253.56588262631885,\"scheduledQuantity\":10.2,\"scheduledCost\":2586.372002788452,\"quantityVariance\":-49.8,\"scheduleRows\":1},{\"code\":\"KQ-67-08\",\"name\":\"Устройство перильного ограждения кровли, м\",\"unit\":\"ед.\",\"quantity\":98.04,\"laborHours\":148.78334291764563,\"machineHours\":7.371028641312094,\"cost\":11259.312466013249,\"materialsCost\":0,\"materialsRows\":1,\"sourceRows\":1,\"sourceKeys\":[\"auto-3b0f076c\"],\"stableKey\":\"auto-b69f2c48\",\"rate\":114.84406840078792,\"scheduledQuantity\":0,\"scheduledCost\":0,\"quantityVariance\":-98.04,\"scheduleRows\":0},{\"code\":\"KQ-46-01\",\"name\":\"Монтаж пластиковых коробов, м\",\"unit\":\"ед.\",\"quantity\":60,\"laborHours\":189.51562816182812,\"machineHours\":3.0241045133457733,\"cost\":11087.29192566751,\"materialsCost\":0,\"materialsRows\":1,\"sourceRows\":1,\"sourceKeys\":[\"auto-e78d183b\"],\"stableKey\":\"auto-af63b954\",\"rate\":184.7881987611252,\"scheduledQuantity\":0,\"scheduledCost\":0,\"quantityVariance\":-60,\"scheduleRows\":0},{\"code\":\"KQ-46-03\",\"name\":\"Монтаж полимерных труб и гофр, м\",\"unit\":\"ед.\",\"quantity\":110,\"laborHours\":172.27041579546193,\"machineHours\":6.890451322486159,\"cost\":10802.87724289331,\"materialsCost\":0,\"materialsRows\":1,\"sourceRows\":1,\"sourceKeys\":[\"auto-04a77204\"],\"stableKey\":\"auto-b163bc7a\",\"rate\":98.20797493539372,\"scheduledQuantity\":0,\"scheduledCost\":0,\"quantityVariance\":-110,\"scheduleRows\":0},{\"code\":\"KQ-03-26\",\"name\":\"Демонтаж электроустановочных изделий и компонентов КИПиА и слаботочных систем, шт.\",\"unit\":\"ед.\",\"quantity\":44,\"laborHours\":118.52652819469338,\"machineHours\":12.843675704062953,\"cost\":9538.749570706254,\"materialsCost\":0,\"materialsRows\":2,\"sourceRows\":2,\"sourceKeys\":[\"auto-13428eed\",\"auto-63c0c585\"],\"stableKey\":\"auto-6c30e652\",\"rate\":216.78976297059668,\"scheduledQuantity\":10,\"scheduledCost\":2167.8976297059667,\"quantityVariance\":-34,\"scheduleRows\":1},{\"code\":\"KQ-63-01\",\"name\":\"Монтаж блочных тепловых пунктов, компл.\",\"unit\":\"ед.\",\"quantity\":2,\"laborHours\":137.19670880580716,\"machineHours\":13.613740268634066,\"cost\":9230.060765016477,\"materialsCost\":0,\"materialsRows\":1,\"sourceRows\":1,\"sourceKeys\":[\"auto-b9f5eb76\"],\"stableKey\":\"auto-13f0be87\",\"rate\":4615.030382508238,\"scheduledQuantity\":0,\"scheduledCost\":0,\"quantityVariance\":-2,\"scheduleRows\":0},{\"code\":\"KQ-48-03\",\"name\":\"Монтаж и подключение патч-кордов, м\",\"unit\":\"ед.\",\"quantity\":335,\"laborHours\":154.81502123735547,\"machineHours\":2.193199880775074,\"cost\":8920.165340078687,\"materialsCost\":0,\"materialsRows\":3,\"sourceRows\":3,\"sourceKeys\":[\"auto-7ceaf8b2\",\"auto-a75dca99\",\"auto-a85dcc2c\"],\"stableKey\":\"auto-3484a53c\",\"rate\":26.627359224115484,\"scheduledQuantity\":0,\"scheduledCost\":0,\"quantityVariance\":-335,\"scheduleRows\":0},{\"code\":\"KQ-39-02\",\"name\":\"Гидроизоляция подземных трубопроводов, м2\",\"unit\":\"ед.\",\"quantity\":53.540000000000006,\"laborHours\":148.37059756198593,\"machineHours\":0.9500120615181169,\"cost\":7913.544713979527,\"materialsCost\":0,\"materialsRows\":2,\"sourceRows\":2,\"sourceKeys\":[\"auto-8bc28019\",\"auto-88c27b60\"],\"stableKey\":\"auto-9498c2e7\",\"rate\":147.80621430667773,\"scheduledQuantity\":0,\"scheduledCost\":0,\"quantityVariance\":-53.540000000000006,\"scheduleRows\":0},{\"code\":\"KQ-65-02\",\"name\":\"Монтаж радиаторов, конвекторов и регистров, шт.\",\"unit\":\"ед.\",\"quantity\":20,\"laborHours\":95.40794746413337,\"machineHours\":4.726703269170335,\"cost\":5716.999149227704,\"materialsCost\":0,\"materialsRows\":2,\"sourceRows\":2,\"sourceKeys\":[\"auto-99ce82fc\",\"auto-98ce8169\"],\"stableKey\":\"auto-60b580d8\",\"rate\":285.8499574613852,\"scheduledQuantity\":0,\"scheduledCost\":0,\"quantityVariance\":-20,\"scheduleRows\":0},{\"code\":\"KQ-03-12\",\"name\":\"Демонтаж оборудования пожаротушения, шт.\",\"unit\":\"ед.\",\"quantity\":40,\"laborHours\":44.66985093252578,\"machineHours\":12.359265370117404,\"cost\":5314.909839145483,\"materialsCost\":0,\"materialsRows\":2,\"sourceRows\":2,\"sourceKeys\":[\"auto-968f4f05\",\"auto-b496a20c\"],\"stableKey\":\"auto-fa3881a1\",\"rate\":132.87274597863706,\"scheduledQuantity\":0,\"scheduledCost\":0,\"quantityVariance\":-40,\"scheduleRows\":0},{\"code\":\"KQ-68-07\",\"name\":\"Устройство декоративных фасадных конструкций, м2\",\"unit\":\"ед.\",\"quantity\":8,\"laborHours\":37.45507945635122,\"machineHours\":3.2242351827415625,\"cost\":3453.2512167983095,\"materialsCost\":0,\"materialsRows\":1,\"sourceRows\":1,\"sourceKeys\":[\"auto-1fb5e4b9\"],\"stableKey\":\"auto-5c759e96\",\"rate\":431.6564020997887,\"scheduledQuantity\":0,\"scheduledCost\":0,\"quantityVariance\":-8,\"scheduleRows\":0},{\"code\":\"KQ-03-01\",\"name\":\"Демонтаж элементов металлоконструкций, т\",\"unit\":\"ед.\",\"quantity\":0.64,\"laborHours\":13.631875695595367,\"machineHours\":10.556873937497972,\"cost\":3174.115644028948,\"materialsCost\":0,\"materialsRows\":2,\"sourceRows\":2,\"sourceKeys\":[\"auto-2b0c4c72\",\"auto-0a5c1232\"],\"stableKey\":\"auto-73356e85\",\"rate\":4959.555693795231,\"scheduledQuantity\":3.2,\"scheduledCost\":15870.578220144738,\"quantityVariance\":2.56,\"scheduleRows\":1},{\"code\":\"KQ-71-10\",\"name\":\"Устройство элементов обеспечения БДД, шт.\",\"unit\":\"ед.\",\"quantity\":10,\"laborHours\":41.78532223198624,\"machineHours\":4.140259264491857,\"cost\":2661.2718889142398,\"materialsCost\":0,\"materialsRows\":1,\"sourceRows\":1,\"sourceKeys\":[\"auto-5945cb9a\"],\"stableKey\":\"auto-bc46cf18\",\"rate\":266.127188891424,\"scheduledQuantity\":0,\"scheduledCost\":0,\"quantityVariance\":-10,\"scheduleRows\":0},{\"code\":\"KQ-03-18\",\"name\":\"Демонтаж элементов воздухозабора и воздухораспредения, шт.\",\"unit\":\"ед.\",\"quantity\":10,\"laborHours\":22.203426351118075,\"machineHours\":3.810283714088747,\"cost\":2108.125063002731,\"materialsCost\":0,\"materialsRows\":2,\"sourceRows\":2,\"sourceKeys\":[\"auto-0932526e\",\"auto-0a325401\"],\"stableKey\":\"auto-f03871e3\",\"rate\":210.81250630027313,\"scheduledQuantity\":14,\"scheduledCost\":2951.375088203824,\"quantityVariance\":4,\"scheduleRows\":1},{\"code\":\"KQ-03-16\",\"name\":\"Демонтаж отопительных приборов, шт.\",\"unit\":\"ед.\",\"quantity\":4,\"laborHours\":9.882357744216229,\"machineHours\":1.5241134856354988,\"cost\":898.9943085660108,\"materialsCost\":0,\"materialsRows\":1,\"sourceRows\":1,\"sourceKeys\":[\"auto-027c78ad\"],\"stableKey\":\"auto-fe3887ed\",\"rate\":224.7485771415027,\"scheduledQuantity\":4,\"scheduledCost\":898.9943085660108,\"quantityVariance\":0,\"scheduleRows\":1},{\"code\":\"KQ-97-16\",\"name\":\"Заправка систем тепло/холодоснабжения рабочими средами, кг\",\"unit\":\"ед.\",\"quantity\":20,\"laborHours\":8.01569985335621,\"machineHours\":2.4813165237708903,\"cost\":788.8167216885331,\"materialsCost\":0,\"materialsRows\":1,\"sourceRows\":1,\"sourceKeys\":[\"auto-3be2e86e\"],\"stableKey\":\"auto-b7abee32\",\"rate\":39.44083608442666,\"scheduledQuantity\":0,\"scheduledCost\":0,\"quantityVariance\":-20,\"scheduleRows\":0},{\"code\":\"KQ-44-01\",\"name\":\"Монтаж вспомогательных опорных металлоконструкций для кабеленесущих систем и оборудования ЭОМ и КИПиА, т\",\"unit\":\"ед.\",\"quantity\":0.02,\"laborHours\":5.911893883744817,\"machineHours\":0.23646321883853258,\"cost\":370.7279837005503,\"materialsCost\":0,\"materialsRows\":1,\"sourceRows\":1,\"sourceKeys\":[\"auto-28b7aeaa\"],\"stableKey\":\"auto-f2333d7e\",\"rate\":18536.399185027512,\"scheduledQuantity\":3.78,\"scheduledCost\":70067.58891940399,\"quantityVariance\":3.76,\"scheduleRows\":1},{\"code\":\"KQ-03-14\",\"name\":\"Демонтаж ЗРА и встраиваемых линейных элементов, шт.\",\"unit\":\"ед.\",\"quantity\":2,\"laborHours\":1.8927902937510925,\"machineHours\":0.5914656092131223,\"cost\":240.71047677873696,\"materialsCost\":0,\"materialsRows\":1,\"sourceRows\":1,\"sourceKeys\":[\"auto-567bbb1c\"],\"stableKey\":\"auto-fc3884c7\",\"rate\":120.35523838936848,\"scheduledQuantity\":2,\"scheduledCost\":240.71047677873696,\"quantityVariance\":0,\"scheduleRows\":1},{\"code\":\"KQ-03-17\",\"name\":\"Демонтаж воздуховодов, м2\",\"unit\":\"ед.\",\"quantity\":8,\"laborHours\":3.2222861960818596,\"machineHours\":0.030482269712709977,\"cost\":186.41993730709888,\"materialsCost\":0,\"materialsRows\":1,\"sourceRows\":1,\"sourceKeys\":[\"auto-9af8d3e1\"],\"stableKey\":\"auto-fd38865a\",\"rate\":23.30249216338736,\"scheduledQuantity\":267.08,\"scheduledCost\":6223.629606997496,\"quantityVariance\":259.08,\"scheduleRows\":1},{\"code\":\"KQ-03-27\",\"name\":\"Демонтаж изоляции, м2\",\"unit\":\"ед.\",\"quantity\":1.2,\"laborHours\":2.6830302413921734,\"machineHours\":0.014195174621114935,\"cost\":152.6633490652275,\"materialsCost\":0,\"materialsRows\":1,\"sourceRows\":1,\"sourceKeys\":[\"auto-7e093fb4\"],\"stableKey\":\"auto-6d30e7e5\",\"rate\":127.21945755435625,\"scheduledQuantity\":0.62,\"scheduledCost\":78.87606368370088,\"quantityVariance\":-0.58,\"scheduleRows\":1},{\"code\":\"KQ-26-01\",\"name\":\"HeavyLift статического колонного, теплообменного и емкостного оборудования, т\",\"unit\":\"ед.\",\"quantity\":110.9,\"laborHours\":0,\"machineHours\":0,\"cost\":598721.5689267876,\"materialsCost\":0,\"materialsRows\":1,\"sourceRows\":1,\"sourceKeys\":[\"auto-54f1a35d\"],\"stableKey\":\"auto-7a20c196\",\"rate\":5398.751748663549,\"rateSource\":\"KQ manual override\",\"scheduledQuantity\":221.8,\"scheduledCost\":1197443.1378535752,\"quantityVariance\":110.9,\"scheduleRows\":1},{\"code\":\"KQ-37-02\",\"name\":\"ОГЗ металлоконструкций (окрасочная), м2\",\"unit\":\"ед.\",\"quantity\":3385.122,\"laborHours\":43311.947624,\"machineHours\":5744.397529999999,\"cost\":2831554.572,\"materialsCost\":0,\"materialsRows\":6,\"sourceRows\":6,\"sourceKeys\":[\"auto-5a6c206f\",\"auto-94eff779\",\"auto-0a03dde5\",\"auto-0703d92c\",\"auto-0803dabf\",\"auto-0d03e29e\"],\"stableKey\":\"auto-23ab0855\",\"rate\":836.4704645800064,\"rateSource\":\"KQ manual override\",\"scheduledQuantity\":9329.9,\"scheduledCost\":7804185.787485001,\"quantityVariance\":5944.778,\"scheduleRows\":1},{\"code\":\"KQ-26-04\",\"name\":\"HeavyLift блочных и комплектных установок, т\",\"unit\":\"ед.\",\"quantity\":0,\"laborHours\":0,\"machineHours\":0,\"cost\":0,\"materialsCost\":0,\"materialsRows\":1,\"sourceRows\":1,\"sourceKeys\":[\"auto-c9f3a0c3\"],\"stableKey\":\"auto-7f20c975\",\"rate\":0,\"scheduledQuantity\":0,\"scheduledCost\":0,\"quantityVariance\":0,\"scheduleRows\":0},{\"code\":\"KQ-111-11\",\"name\":\"KQ-111-11\",\"unit\":\"ед.\",\"laborHours\":0,\"machineHours\":0,\"materialsCost\":null,\"sourceRows\":0,\"quantity\":7234,\"cost\":1553839.45,\"rate\":214.7967168924523,\"rateSource\":\"KQ manual override\",\"scheduledQuantity\":1650.18,\"scheduledCost\":354453.24628158694,\"quantityVariance\":-5583.82,\"scheduleRows\":3}],\"materialForecastByKq\":{\"KQ-01-01\":[0,0,0,0,0,0,0,0,0,0,0,0],\"KQ-03-01\":[0,0,0,0,0,0,0,0,0,0,0,0],\"KQ-111-11\":[0,0,0,0,0,0,0,0,0,0,0,0],\"KQ-03-08\":[0,0,0,0,0,0,0,0,0,0,0,0],\"KQ-03-10\":[0,0,0,0,0,0,0,0,0,0,0,0],\"KQ-03-13\":[0,0,0,0,0,0,0,0,0,0,0,0],\"KQ-03-14\":[0,0,0,0,0,0,0,0,0,0,0,0],\"KQ-03-16\":[0,0,0,0,0,0,0,0,0,0,0,0],\"KQ-03-17\":[0,0,0,0,0,0,0,0,0,0,0,0],\"KQ-03-18\":[0,0,0,0,0,0,0,0,0,0,0,0],\"KQ-03-25\":[0,0,0,0,0,0,0,0,0,0,0,0],\"KQ-03-26\":[0,0,0,0,0,0,0,0,0,0,0,0],\"KQ-03-27\":[0,0,0,0,0,0,0,0,0,0,0,0],\"KQ-05-01\":[0,0,0,0,0,0,0,0,0,0,0,0],\"KQ-09-01\":[0,0,0,0,0,0,0,0,0,0,0,0],\"KQ-09-02\":[790300,203220,135480,0,0,0,0,0,0,0,0,0],\"KQ-10-01\":[50282.623999999996,44628.24799999999,139382.69799999997,165811.436,78654.548,34081.348,6968.835999999999,10368.147999999997,8463.826,19452.131999999994,56196.09799999999,15914.933999999997],\"KQ-12-01\":[75883.75,29182,55735.5,56290.5,71636.75,25069.5,16972.75,4549.25,2400.25,21924.25,24392,8494.5],\"KQ-12-02\":[1180704.5,857768,711183,497786,279024.5,294589.5,233798.5,103582.5,43978,50580.49999999999,184765.5,88664.5],\"KQ-12-03\":[0,0,0,0,0,0,0,5337.5,10612.5,5408.5,3799.75,792.75],\"KQ-13-01\":[56612.5,405070,539905,438333,167551,400875.5,98569,61085.00000000001,165809.99999999997,107690.5,60170,16814.5],\"KQ-16-01\":[0,0,0,0,944.9999999999999,243,162,54652.5,116166,101199,122723.99999999999,124838.99999999999],\"KQ-18-02\":[0,0,0,0,223.125,57.375,38.25,535.5,844.2625,273.4875,1749.9375,418.8375],\"KQ-20-02\":[0,0,0,0,0,0,0,0,0,1160.2499999999998,298.34999999999997,198.89999999999998],\"KQ-20-03\":[0,0,0,0,0,0,0,0,0,1160.2499999999998,298.34999999999997,198.89999999999998],\"KQ-22-01\":[0,0,0,0,0,0,0,0,0,0,0,0],\"KQ-22-02\":[0,0,0,0,0,0,0,0,0,0,0,0],\"KQ-22-03\":[0,0,0,0,0,0,0,0,0,0,0,0],\"KQ-23-01\":[0,0,0,0,0,0,0,0,0,0,0,0],\"KQ-24-01\":[0,0,0,0,0,0,0,0,0,0,0,0],\"KQ-25-01\":[0,0,0,0,0,0,0,0,0,253114.4,87482.36,49149.96],\"KQ-26-01\":[0,0,0,0,0,0,0,0,0,0,0,0],\"KQ-27-02\":[0,0,0,0,0,0,0,0,0,0,0,0],\"KQ-27-03\":[0,0,0,0,0,0,0,0,0,0,0,0],\"KQ-27-04\":[0,0,0,0,0,0,0,0,0,0,0,0],\"KQ-27-05\":[0,0,0,0,0,0,0,0,0,0,0,0],\"KQ-27-13\":[0,0,0,0,0,0,0,0,0,0,0,0],\"KQ-27-14\":[0,0,0,0,0,0,0,0,0,0,0,0],\"KQ-27-19\":[0,0,0,0,0,0,0,0,0,0,0,0],\"KQ-32-01\":[0,0,0,0,0,0,0,0,0,0,0,0],\"KQ-33-01\":[0,0,0,0,0,0,0,0,0,0,0,0],\"KQ-33-06\":[0,0,0,0,0,0,0,0,0,0,0,0],\"KQ-34-03\":[0,0,0,0,0,0,0,0,0,0,0,0],\"KQ-35-01\":[0,0,0,0,0,0,0,0,0,0,0,0],\"KQ-37-02\":[0,0,0,0,0,0,0,0,0,0,0,0],\"KQ-38-02\":[0,0,0,0,0,0,0,29453.76,43827.804,29393.388,10077.696,2575.152],\"KQ-38-03\":[0,0,0,0,0,0,0,274.04999999999995,70.47,46.98,50205.01499999999,12909.860999999999],\"KQ-44-01\":[0,0,0,0,0,0,0,0,0,0,0,0],\"KQ-45-01\":[0,0,0,0,0,0,0,0,0,0,0,0],\"KQ-46-02\":[0,0,0,0,0,0,0,0,0,0,3782.7999999999997,8537.619999999999],\"KQ-48-01\":[0,0,0,0,0,0,0,0,0,0,0,0],\"KQ-48-04\":[0,0,0,0,0,0,0,0,0,0,0,0],\"KQ-49-01\":[0,0,0,0,0,0,0,0,0,0,0,0],\"KQ-49-04\":[0,0,0,0,0,0,0,0,0,0,0,0],\"KQ-51-01\":[0,0,0,0,0,0,0,0,0,0,393.48749999999995,600.1949999999999],\"KQ-51-02\":[0,0,0,875,225,150,1855.0874999999999,7237.6224999999995,4208.255,2403.5299999999997,2072.1925,1416.85],\"KQ-57-01\":[0,0,0,0,0,0,0,0,0,0,0,0],\"KQ-57-03\":[0,0,0,0,0,0,0,0,0,0,0,0],\"KQ-58-01\":[0,0,0,0,0,0,0,0,0,0,0,0],\"KQ-59-02\":[0,0,0,0,0,0,0,0,0,0,0,0],\"KQ-60-01\":[0,0,0,0,0,0,0,0,0,0,0,0],\"KQ-62-01\":[0,0,0,0,0,0,0,0,0,0,0,9531.199999999999],\"KQ-62-02\":[0,0,0,0,0,0,0,0,0,0,0,0],\"KQ-64-01\":[0,0,0,0,0,0,0,0,0,735,189,126],\"KQ-69-01\":[0,0,0,0,6293,10711.2,37024,49862.600000000006,77153.99999999999,25096.8,12388.199999999999,4978.8],\"KQ-69-02\":[0,0,0,0,0,0,0,0,0,0,0,2922.325],\"KQ-69-03\":[0,0,0,68.07499999999999,17.505,11.67,0,0,1753.675,16664.345,13722.564999999999,9840.499999999998],\"KQ-71-01\":[0,0,0,0,0,0,0,0,0,6783.2625,23830.020000000004,6842.038500000001],\"KQ-71-02\":[0,0,0,0,0,0,0,9.45,2.4299999999999997,14356.695,50401.604999999996,14472.09],\"KQ-71-03\":[0,0,0,0,0,0,0,0,0,91752.5,521739.7499999999,338380]},\"primaryMonthsWithDocuments\":[false,false,false,false,false,false,false,false,false,false,false,false],\"primaryIdentityConfirmed\":false,\"paymentActualMonths\":[false,false,false,false,false,false,false,false,false,false,false,false],\"cashFlowBasis\":\"source_model\",\"revenueBasis\":\"ksg\"}","result":{"row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[0,0,0,0,0,0,0,0,0,0,0,0],"consumables":[0,0,0,0,0,0,0,0,0,0,0,0],"nrk":[0,0,0,0,0,0,0,0,0,0,0,0],"otherDirect":[0,0,0,0,0,0,0,0,0,0,0,0],"indirectPayroll":[0,0,0,0,0,0,0,0,0,0,0,0]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[0,0,0,0,0,0,0,0,0,0,0,0],"warehouse":[0,0,0,0,0,0,0,0,0,0,0,0]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materialCostsByKind":{},"revenue":[6009188.245655865,6326310.065261915,7192962.040909068,7719049.553621543,5505821.553424569,9987823.64153884,6691447.283210083,5821714.1066337265,7166557.134399284,10354368.854407901,15683364.331498714,14091759.611429863],"direct":[0,0,0,0,0,0,0,0,0,0,0,0],"indirect":[0,0,0,0,0,0,0,0,0,0,0,0],"costs":[0,0,0,0,0,0,0,0,0,0,0,0],"profit":[6009188.245655865,6326310.065261915,7192962.040909068,7719049.553621543,5505821.553424569,9987823.64153884,6691447.283210083,5821714.1066337265,7166557.134399284,10354368.854407901,15683364.331498714,14091759.611429863],"payments":{"payroll":[0,0,0,0,0,0,0,0,0,0,0,0],"payrollTax":[0,0,0,0,0,0,0,0,0,0,0,0],"insurance":[0,0,0,0,0,0,0,0,0,0,0,0],"vacation":[0,0,0,0,0,0,0,0,0,0,0,0],"subcontract":[0,0,0,0,0,0,0,0,0,0,0,0],"equipment":[0,0,0,0,0,0,0,0,0,0,0,0],"scaffolding":[0,0,0,0,0,0,0,0,0,0,0,0],"scaffoldLabor":[0,0,0,0,0,0,0,0,0,0,0,0],"projectMaterials":[0,0,0,0,0,0,0,0,0,0,0,0],"consumables":[0,0,0,0,0,0,0,0,0,0,0,0],"nrk":[0,0,0,0,0,0,0,0,0,0,0,0],"otherDirect":[0,0,0,0,0,0,0,0,0,0,0,0],"indirectPayroll":[0,0,0,0,0,0,0</t>
        </is>
      </c>
    </row>
    <row r="11">
      <c r="A11" t="inlineStr">
        <is>
          <t xml:space="preserve">,0,0,0,0,0],"indirectTax":[0,0,0,0,0,0,0,0,0,0,0,0],"indirectInsurance":[0,0,0,0,0,0,0,0,0,0,0,0],"indirectVacation":[0,0,0,0,0,0,0,0,0,0,0,0],"food":[0,0,0,0,0,0,0,0,0,0,0,0],"housing":[0,0,0,0,0,0,0,0,0,0,0,0],"bus":[0,0,0,0,0,0,0,0,0,0,0,0],"car":[0,0,0,0,0,0,0,0,0,0,0,0],"formwork":[0,0,0,0,0,0,0,0,0,0,0,0],"ppe":[0,0,0,0,0,0,0,0,0,0,0,0],"tickets":[0,0,0,0,0,0,0,0,0,0,0,0],"permit":[0,0,0,0,0,0,0,0,0,0,0,0],"medical":[0,0,0,0,0,0,0,0,0,0,0,0],"vziz":[0,0,0,0,0,0,0,0,0,0,0,0],"office":[0,0,0,0,0,0,0,0,0,0,0,0],"warehouse":[0,0,0,0,0,0,0,0,0,0,0,0],"internet":[0,0,0,0,0,0,0,0,0,0,0,0],"waste":[0,0,0,0,0,0,0,0,0,0,0,0],"safety":[0,0,0,0,0,0,0,0,0,0,0,0],"accident":[0,0,0,0,0,0,0,0,0,0,0,0],"it":[0,0,0,0,0,0,0,0,0,0,0,0],"containers":[0,0,0,0,0,0,0,0,0,0,0,0],"modularOffice":[0,0,0,0,0,0,0,0,0,0,0,0],"transport":[0,0,0,0,0,0,0,0,0,0,0,0],"otherIndirect":[0,0,0,0,0,0,0,0,0,0,0,0]},"directPayments":[0,0,0,0,0,0,0,0,0,0,0,0],"indirectPayments":[0,0,0,0,0,0,0,0,0,0,0,0],"outputVat":[142514.62236355263,942333.5719812704,1078336.8504999788,1217390.196933582,1313349.2849927966,981125.5490736492,1634246.9651147777,1202792.4164589986,1012225.9603908974,1204674.771974713,1719211.3324779272,2595448.475255765],"advanceVat":[0,0,0,0,0,0,0,0,0,0,0,0],"offsetVat":[0,0,0,0,0,0,0,0,0,0,0,0],"inputVat":[0,0,0,0,0,0,0,0,0,0,0,0],"vatPay":[0,0,0,0,0,0,0,0,0,0,0,0],"operatingPayments":[0,0,0,0,0,0,0,0,0,0,0,0],"inflow":[790308.360379701,5225667.990077954,5979867.989136245,6750982.001177136,7283118.76223278,5440787.135772054,9062642.26109104,6670030.67309081,5613253.053076794,6680469.190041591,9533808.298286688,14392941.544600151],"ncf":[790308.360379701,5225667.990077954,5979867.989136245,6750982.001177136,7283118.76223278,5440787.135772054,9062642.26109104,6670030.67309081,5613253.053076794,6680469.190041591,9533808.298286688,14392941.544600151],"cumulative":[790308.360379701,6015976.350457655,11995844.3395939,18746826.340771034,26029945.103003815,31470732.238775868,40533374.49986691,47203405.17295772,52816658.226034515,59497127.41607611,69030935.7143628,83423877.25896296],"cashBridge":{"revenue":102550366.42199138,"cashReceipts":83423877.25896296,"accrualGap":-19126489.16302842,"accruedCosts":0,"cashCosts":0,"costTiming":0,"taxCash":0,"openingCash":0},"openingCash":0,"deferred":0,"accepted":[831903.5372417906,5500703.147450478,6294597.88330131,7106296.843344353,7666440.802350296,5727144.353444267,9539623.432727411,7021084.919042958,5908687.424291363,7032072.831622728,10035587.68240704,15150464.783789633],"receipts":[790308.360379701,5225667.990077954,5979867.989136245,6750982.001177136,7283118.76223278,5440787.135772054,9062642.26109104,6670030.67309081,5613253.053076794,6680469.190041591,9533808.298286688,14392941.544600151],"advances":[0,0,0,0,0,0,0,0,0,0,0,0],"factoring":[0,0,0,0,0,0,0,0,0,0,0,0],"offsets":[0,0,0,0,0,0,0,0,0,0,0,0],"retention":[41595.176862089524,275035.15737252386,314729.8941650655,355314.84216721763,383322.0401175148,286357.21767221333,476981.1716363706,351054.24595214793,295434.37121456815,351603.64158113644,501779.384120352,757523.2391894816],"deductions":[0,0,0,0,0,0,0,0,0,0,0,0],"receivable":[0,0,0,0,0,0,0,0,0,0,0,0]},"savedAt":"2026-09-25T12:30:35.697Z"}}],"parameters":{"payroll":{"value":150000,"method":"monthly","enabled":true,"lag":0,"cash":true,"vat":false},"payrollTax":{"value":13,"method":"rate","enabled":true,"lag":0,"cash":true,"vat":false},"insurance":{"value":30.9,"method":"rate","enabled":true,"lag":0,"cash":true,"vat":false},"vacation":{"value":8,"method":"rate","enabled":true,"lag":0,"cash":false,"vat":false},"subcontract":{"value":0,"method":"percentRevenue","enabled":true,"lag":0,"cash":true,"vat":true},"equipment":{"value":5000,"method":"unit","enabled":true,"lag":0,"cash":true,"vat":true},"scaffolding":{"value":0,"method":"manual","enabled":true,"lag":0,"cash":true,"vat":true},"scaffoldLabor":{"value":1500,"method":"unit","enabled":true,"lag":0,"cash":true,"vat":true},"projectMaterials":{"value":100,"method":"materials","enabled":true,"lag":0,"cash":true,"vat":true},"consumables":{"value":10,"method":"percentPayroll","enabled":true,"lag":0,"cash":true,"vat":true},"nrk":{"value":4000,"method":"unit","enabled":true,"lag":0,"cash":true,"vat":true},"otherDirect":{"value":0,"method":"manual","enabled":true,"lag":0,"cash":true,"vat":true},"indirectPayroll":{"value":180000,"method":"monthly","enabled":true,"lag":0,"cash":true,"vat":false},"indirectTax":{"value":13,"method":"rate","enabled":true,"lag":0,"cash":true,"vat":false},"indirectInsurance":{"value":30.9,"method":"rate","enabled":true,"lag":0,"cash":true,"vat":false},"indirectVacation":{"value":8,"method":"rate","enabled":true,"lag":0,"cash":false,"vat":false},"food":{"value":650,"method":"day","enabled":true,"lag":0,"cash":true,"vat":true},"housing":{"value":500,"method":"day","enabled":true,"lag":0,"cash":true,"vat":true},"bus":{"value":639344,"method":"unit","enabled":true,"lag":0,"cash":true,"vat":true},"car":{"value":319672,"method":"unit","enabled":true,"lag":0,"cash":true,"vat":true},"formwork":{"value":0,"method":"manual","enabled":true,"lag":0,"cash":true,"vat":true},"ppe":{"value":30000,"method":"annualPerPerson","enabled":true,"lag":0,"cash":true,"vat":true},"tickets":{"value":40000,"method":"rotation","enabled":true,"lag":0,"cash":true,"vat":true},"permit":{"value":8000,"method":"perPerson","enabled":true,"lag":0,"cash":true,"vat":true},"medical":{"value":3000,"method":"perPerson","enabled":true,"lag":0,"cash":true,"vat":true},"vziz":{"value":20000,"method":"annualPerPerson","enabled":true,"lag":0,"cash":true,"vat":true},"office":{"value":300000,"method":"monthly","enabled":true,"lag":0,"cash":true,"vat":true},"warehouse":{"value":800000,"method":"monthly","enabled":true,"lag":0,"cash":true,"vat":true},"internet":{"value":0,"method":"monthly","enabled":true,"lag":0,"cash":true,"vat":true},"waste":{"value":0,"method":"monthly","enabled":true,"lag":0,"cash":true,"vat":true},"safety":{"value":1,"method":"percentPayroll","enabled":true,"lag":0,"cash":true,"vat":true},"accident":{"value":5000,"method":"annualPerPerson","enabled":true,"lag":0,"cash":true,"vat":true},"it":{"value":0,"method":"manual","enabled":true,"lag":0,"cash":true,"vat":true},"containers":{"value":0,"method":"manual","enabled":true,"lag":0,"cash":true,"vat":true},"modularOffice":{"value":0,"method":"manual","enabled":true,"lag":0,"cash":true,"vat":true},"transport":{"value":0,"method":"manual","enabled":true,"lag":0,"cash":true,"vat":true},"otherIndirect":{"value":10,"method":"percentDirect","enabled":true,"lag":0,"cash":true,"vat":true}},"year":2026,"vatRate":22,"vacationBasis":"annual","sourceIdentities":{"primary_documents":{"contractNumber":"4700134228","contractor":"Подрядчик 2 · расчётный сценарий","project":"ПЭ"},"payments":{"contractNumber":"4700134228","contractor":"Подрядчик 2 · расчётный сценарий"}}}],"portfolio":{"versionIds":{},"excluded":[]},"executionSchedule":{"stages":[70,18,12],"documentationDelay":[10,10,10],"ks2Lag":1}}}</t>
        </is>
      </c>
    </row>
  </sheetData>
</worksheet>
</file>