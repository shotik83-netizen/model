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" sheetId="1" r:id="rId1"/>
    <sheet name="Параметры" sheetId="2" r:id="rId2"/>
    <sheet name="Модель" sheetId="3" r:id="rId3"/>
    <sheet name="Детальная модель" sheetId="4" r:id="rId4"/>
    <sheet name="_DATA" sheetId="5" r:id="rId5" state="hidden"/>
  </sheets>
</workbook>
</file>

<file path=xl/styles.xml><?xml version="1.0" encoding="utf-8"?>
<styleSheet xmlns="http://schemas.openxmlformats.org/spreadsheetml/2006/main">
  <numFmts count="1">
    <numFmt numFmtId="164" formatCode="# ##0.0;[Red]-# ##0.0;–"/>
  </numFmts>
  <fonts count="4">
    <font>
      <sz val="11"/>
      <name val="Aptos"/>
      <color rgb="FF20303B"/>
    </font>
    <font>
      <b/>
      <sz val="11"/>
      <name val="Aptos"/>
      <color rgb="FF24444D"/>
    </font>
    <font>
      <b/>
      <sz val="11"/>
      <name val="Aptos"/>
      <color rgb="FF183D49"/>
    </font>
    <font>
      <sz val="11"/>
      <name val="Aptos"/>
      <color rgb="FFB53B3B"/>
    </font>
  </fonts>
  <fills count="5">
    <fill>
      <patternFill patternType="none"/>
    </fill>
    <fill>
      <patternFill patternType="gray125"/>
    </fill>
    <fill>
      <patternFill patternType="solid">
        <fgColor rgb="FFEAF0F2"/>
      </patternFill>
    </fill>
    <fill>
      <patternFill patternType="solid">
        <fgColor rgb="FFF3F7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2" fillId="3" borderId="0" xfId="0" applyFont="1" applyFill="1" applyNumberFormat="1"/>
    <xf numFmtId="164" fontId="0" fillId="4" borderId="0" xfId="0" applyFill="1" applyNumberFormat="1"/>
    <xf numFmtId="164" fontId="3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Файл подрядчика финансово-экономической модели</t>
        </is>
      </c>
    </row>
    <row r="2">
      <c r="A2" t="inlineStr">
        <is>
          <t xml:space="preserve">Подрядчик</t>
        </is>
      </c>
      <c r="B2" t="inlineStr">
        <is>
          <t xml:space="preserve">Подрядчик 2 · расчётный сценарий</t>
        </is>
      </c>
    </row>
    <row r="3">
      <c r="A3" t="inlineStr">
        <is>
          <t xml:space="preserve">Идентификатор</t>
        </is>
      </c>
      <c r="B3" t="inlineStr">
        <is>
          <t xml:space="preserve">c_mugvjjiee42h</t>
        </is>
      </c>
    </row>
    <row r="4">
      <c r="A4" t="inlineStr">
        <is>
          <t xml:space="preserve">Сформирован</t>
        </is>
      </c>
      <c r="B4" t="inlineStr">
        <is>
          <t xml:space="preserve">2026-09-25T12:42:30.520Z</t>
        </is>
      </c>
    </row>
    <row r="5"/>
    <row r="6">
      <c r="A6" t="inlineStr">
        <is>
          <t xml:space="preserve">Договор</t>
        </is>
      </c>
      <c r="B6" t="inlineStr">
        <is>
          <t xml:space="preserve">Наименование</t>
        </is>
      </c>
      <c r="C6" t="inlineStr">
        <is>
          <t xml:space="preserve">Версий</t>
        </is>
      </c>
      <c r="D6" t="inlineStr">
        <is>
          <t xml:space="preserve">Валюта актуальной версии</t>
        </is>
      </c>
      <c r="E6" t="inlineStr">
        <is>
          <t xml:space="preserve">Контрактный курс к RUB</t>
        </is>
      </c>
    </row>
    <row r="7">
      <c r="A7" t="inlineStr">
        <is>
          <t xml:space="preserve">4700134228</t>
        </is>
      </c>
      <c r="B7" t="inlineStr">
        <is>
          <t xml:space="preserve">Расчётный договор 4700134228 · +5 месяцев, ставка и объём ×2</t>
        </is>
      </c>
      <c r="C7" s="2">
        <v>1</v>
      </c>
      <c r="D7" t="inlineStr">
        <is>
          <t xml:space="preserve">USD</t>
        </is>
      </c>
      <c r="E7" s="2">
        <v>80</v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Валюта</t>
        </is>
      </c>
      <c r="D1" s="1" t="inlineStr">
        <is>
          <t xml:space="preserve">Курс к RUB</t>
        </is>
      </c>
      <c r="E1" s="1" t="inlineStr">
        <is>
          <t xml:space="preserve">Статья</t>
        </is>
      </c>
      <c r="F1" s="1" t="inlineStr">
        <is>
          <t xml:space="preserve">Группа</t>
        </is>
      </c>
      <c r="G1" s="1" t="inlineStr">
        <is>
          <t xml:space="preserve">Ставка</t>
        </is>
      </c>
      <c r="H1" s="1" t="inlineStr">
        <is>
          <t xml:space="preserve">Метод</t>
        </is>
      </c>
      <c r="I1" s="1" t="inlineStr">
        <is>
          <t xml:space="preserve">База ставки</t>
        </is>
      </c>
      <c r="J1" s="1" t="inlineStr">
        <is>
          <t xml:space="preserve">Источник ставки</t>
        </is>
      </c>
      <c r="K1" s="1" t="inlineStr">
        <is>
          <t xml:space="preserve">Оплата, мес.</t>
        </is>
      </c>
      <c r="L1" s="1" t="inlineStr">
        <is>
          <t xml:space="preserve">В экономике</t>
        </is>
      </c>
      <c r="M1" s="1" t="inlineStr">
        <is>
          <t xml:space="preserve">Выплачивать</t>
        </is>
      </c>
      <c r="N1" s="1" t="inlineStr">
        <is>
          <t xml:space="preserve">С НДС</t>
        </is>
      </c>
    </row>
    <row r="2">
      <c r="A2" t="inlineStr">
        <is>
          <t xml:space="preserve">4700134228</t>
        </is>
      </c>
      <c r="B2" t="inlineStr">
        <is>
          <t xml:space="preserve">Без исходных данных</t>
        </is>
      </c>
      <c r="C2" t="inlineStr">
        <is>
          <t xml:space="preserve">USD</t>
        </is>
      </c>
      <c r="D2" s="2">
        <v>80</v>
      </c>
      <c r="E2" t="inlineStr">
        <is>
          <t xml:space="preserve">Заработная плата</t>
        </is>
      </c>
      <c r="F2" t="inlineStr">
        <is>
          <t xml:space="preserve">Прямые</t>
        </is>
      </c>
      <c r="G2" s="2">
        <v>3750</v>
      </c>
      <c r="H2" t="inlineStr">
        <is>
          <t xml:space="preserve">monthly</t>
        </is>
      </c>
      <c r="I2" t="inlineStr">
        <is>
          <t xml:space="preserve"/>
        </is>
      </c>
      <c r="J2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2" s="2">
        <v>0</v>
      </c>
      <c r="L2" t="inlineStr">
        <is>
          <t xml:space="preserve">true</t>
        </is>
      </c>
      <c r="M2" t="inlineStr">
        <is>
          <t xml:space="preserve">true</t>
        </is>
      </c>
      <c r="N2" t="inlineStr">
        <is>
          <t xml:space="preserve">false</t>
        </is>
      </c>
    </row>
    <row r="3">
      <c r="A3" t="inlineStr">
        <is>
          <t xml:space="preserve">4700134228</t>
        </is>
      </c>
      <c r="B3" t="inlineStr">
        <is>
          <t xml:space="preserve">Без исходных данных</t>
        </is>
      </c>
      <c r="C3" t="inlineStr">
        <is>
          <t xml:space="preserve">USD</t>
        </is>
      </c>
      <c r="D3" s="2">
        <v>80</v>
      </c>
      <c r="E3" t="inlineStr">
        <is>
          <t xml:space="preserve">НДФЛ</t>
        </is>
      </c>
      <c r="F3" t="inlineStr">
        <is>
          <t xml:space="preserve">Прямые</t>
        </is>
      </c>
      <c r="G3" s="2">
        <v>13</v>
      </c>
      <c r="H3" t="inlineStr">
        <is>
          <t xml:space="preserve">rate</t>
        </is>
      </c>
      <c r="I3" t="inlineStr">
        <is>
          <t xml:space="preserve"/>
        </is>
      </c>
      <c r="J3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3" s="2">
        <v>0</v>
      </c>
      <c r="L3" t="inlineStr">
        <is>
          <t xml:space="preserve">true</t>
        </is>
      </c>
      <c r="M3" t="inlineStr">
        <is>
          <t xml:space="preserve">true</t>
        </is>
      </c>
      <c r="N3" t="inlineStr">
        <is>
          <t xml:space="preserve">false</t>
        </is>
      </c>
    </row>
    <row r="4">
      <c r="A4" t="inlineStr">
        <is>
          <t xml:space="preserve">4700134228</t>
        </is>
      </c>
      <c r="B4" t="inlineStr">
        <is>
          <t xml:space="preserve">Без исходных данных</t>
        </is>
      </c>
      <c r="C4" t="inlineStr">
        <is>
          <t xml:space="preserve">USD</t>
        </is>
      </c>
      <c r="D4" s="2">
        <v>80</v>
      </c>
      <c r="E4" t="inlineStr">
        <is>
          <t xml:space="preserve">Страховые взносы</t>
        </is>
      </c>
      <c r="F4" t="inlineStr">
        <is>
          <t xml:space="preserve">Прямые</t>
        </is>
      </c>
      <c r="G4" s="2">
        <v>30.9</v>
      </c>
      <c r="H4" t="inlineStr">
        <is>
          <t xml:space="preserve">rate</t>
        </is>
      </c>
      <c r="I4" t="inlineStr">
        <is>
          <t xml:space="preserve"/>
        </is>
      </c>
      <c r="J4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4" s="2">
        <v>0</v>
      </c>
      <c r="L4" t="inlineStr">
        <is>
          <t xml:space="preserve">true</t>
        </is>
      </c>
      <c r="M4" t="inlineStr">
        <is>
          <t xml:space="preserve">true</t>
        </is>
      </c>
      <c r="N4" t="inlineStr">
        <is>
          <t xml:space="preserve">false</t>
        </is>
      </c>
    </row>
    <row r="5">
      <c r="A5" t="inlineStr">
        <is>
          <t xml:space="preserve">4700134228</t>
        </is>
      </c>
      <c r="B5" t="inlineStr">
        <is>
          <t xml:space="preserve">Без исходных данных</t>
        </is>
      </c>
      <c r="C5" t="inlineStr">
        <is>
          <t xml:space="preserve">USD</t>
        </is>
      </c>
      <c r="D5" s="2">
        <v>80</v>
      </c>
      <c r="E5" t="inlineStr">
        <is>
          <t xml:space="preserve">Резерв на отпуска</t>
        </is>
      </c>
      <c r="F5" t="inlineStr">
        <is>
          <t xml:space="preserve">Прямые</t>
        </is>
      </c>
      <c r="G5" s="2">
        <v>9.226190476190476</v>
      </c>
      <c r="H5" t="inlineStr">
        <is>
          <t xml:space="preserve">rate</t>
        </is>
      </c>
      <c r="I5" t="inlineStr">
        <is>
          <t xml:space="preserve"/>
        </is>
      </c>
      <c r="J5" t="inlineStr">
        <is>
          <t xml:space="preserve">Расчётный сценарий 4700134228: Исходная модель, Детальная модель!F50 · Согласованные 8% годового ФОТ/мес.; F50 = 9,22619% на другой базе</t>
        </is>
      </c>
      <c r="K5" s="2">
        <v>0</v>
      </c>
      <c r="L5" t="inlineStr">
        <is>
          <t xml:space="preserve">true</t>
        </is>
      </c>
      <c r="M5" t="inlineStr">
        <is>
          <t xml:space="preserve">false</t>
        </is>
      </c>
      <c r="N5" t="inlineStr">
        <is>
          <t xml:space="preserve">false</t>
        </is>
      </c>
    </row>
    <row r="6">
      <c r="A6" t="inlineStr">
        <is>
          <t xml:space="preserve">4700134228</t>
        </is>
      </c>
      <c r="B6" t="inlineStr">
        <is>
          <t xml:space="preserve">Без исходных данных</t>
        </is>
      </c>
      <c r="C6" t="inlineStr">
        <is>
          <t xml:space="preserve">USD</t>
        </is>
      </c>
      <c r="D6" s="2">
        <v>80</v>
      </c>
      <c r="E6" t="inlineStr">
        <is>
          <t xml:space="preserve">Субподряд</t>
        </is>
      </c>
      <c r="F6" t="inlineStr">
        <is>
          <t xml:space="preserve">Прямые</t>
        </is>
      </c>
      <c r="G6" s="2">
        <v>0</v>
      </c>
      <c r="H6" t="inlineStr">
        <is>
          <t xml:space="preserve">percentRevenue</t>
        </is>
      </c>
      <c r="I6" t="inlineStr">
        <is>
          <t xml:space="preserve"/>
        </is>
      </c>
      <c r="J6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6" s="2">
        <v>0</v>
      </c>
      <c r="L6" t="inlineStr">
        <is>
          <t xml:space="preserve">true</t>
        </is>
      </c>
      <c r="M6" t="inlineStr">
        <is>
          <t xml:space="preserve">true</t>
        </is>
      </c>
      <c r="N6" t="inlineStr">
        <is>
          <t xml:space="preserve">true</t>
        </is>
      </c>
    </row>
    <row r="7">
      <c r="A7" t="inlineStr">
        <is>
          <t xml:space="preserve">4700134228</t>
        </is>
      </c>
      <c r="B7" t="inlineStr">
        <is>
          <t xml:space="preserve">Без исходных данных</t>
        </is>
      </c>
      <c r="C7" t="inlineStr">
        <is>
          <t xml:space="preserve">USD</t>
        </is>
      </c>
      <c r="D7" s="2">
        <v>80</v>
      </c>
      <c r="E7" t="inlineStr">
        <is>
          <t xml:space="preserve">Строительная техника</t>
        </is>
      </c>
      <c r="F7" t="inlineStr">
        <is>
          <t xml:space="preserve">Прямые</t>
        </is>
      </c>
      <c r="G7" s="2">
        <v>125</v>
      </c>
      <c r="H7" t="inlineStr">
        <is>
          <t xml:space="preserve">unit</t>
        </is>
      </c>
      <c r="I7" t="inlineStr">
        <is>
          <t xml:space="preserve"/>
        </is>
      </c>
      <c r="J7" t="inlineStr">
        <is>
          <t xml:space="preserve">Расчётный сценарий 4700134228: Исходная модель, Детальная модель!F52</t>
        </is>
      </c>
      <c r="K7" s="2">
        <v>0</v>
      </c>
      <c r="L7" t="inlineStr">
        <is>
          <t xml:space="preserve">true</t>
        </is>
      </c>
      <c r="M7" t="inlineStr">
        <is>
          <t xml:space="preserve">true</t>
        </is>
      </c>
      <c r="N7" t="inlineStr">
        <is>
          <t xml:space="preserve">true</t>
        </is>
      </c>
    </row>
    <row r="8">
      <c r="A8" t="inlineStr">
        <is>
          <t xml:space="preserve">4700134228</t>
        </is>
      </c>
      <c r="B8" t="inlineStr">
        <is>
          <t xml:space="preserve">Без исходных данных</t>
        </is>
      </c>
      <c r="C8" t="inlineStr">
        <is>
          <t xml:space="preserve">USD</t>
        </is>
      </c>
      <c r="D8" s="2">
        <v>80</v>
      </c>
      <c r="E8" t="inlineStr">
        <is>
          <t xml:space="preserve">Строительные леса</t>
        </is>
      </c>
      <c r="F8" t="inlineStr">
        <is>
          <t xml:space="preserve">Прямые</t>
        </is>
      </c>
      <c r="G8" s="2">
        <v>0</v>
      </c>
      <c r="H8" t="inlineStr">
        <is>
          <t xml:space="preserve">manual</t>
        </is>
      </c>
      <c r="I8" t="inlineStr">
        <is>
          <t xml:space="preserve"/>
        </is>
      </c>
      <c r="J8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8" s="2">
        <v>0</v>
      </c>
      <c r="L8" t="inlineStr">
        <is>
          <t xml:space="preserve">true</t>
        </is>
      </c>
      <c r="M8" t="inlineStr">
        <is>
          <t xml:space="preserve">true</t>
        </is>
      </c>
      <c r="N8" t="inlineStr">
        <is>
          <t xml:space="preserve">true</t>
        </is>
      </c>
    </row>
    <row r="9">
      <c r="A9" t="inlineStr">
        <is>
          <t xml:space="preserve">4700134228</t>
        </is>
      </c>
      <c r="B9" t="inlineStr">
        <is>
          <t xml:space="preserve">Без исходных данных</t>
        </is>
      </c>
      <c r="C9" t="inlineStr">
        <is>
          <t xml:space="preserve">USD</t>
        </is>
      </c>
      <c r="D9" s="2">
        <v>80</v>
      </c>
      <c r="E9" t="inlineStr">
        <is>
          <t xml:space="preserve">Лесомонтаж</t>
        </is>
      </c>
      <c r="F9" t="inlineStr">
        <is>
          <t xml:space="preserve">Прямые</t>
        </is>
      </c>
      <c r="G9" s="2">
        <v>37.5</v>
      </c>
      <c r="H9" t="inlineStr">
        <is>
          <t xml:space="preserve">unit</t>
        </is>
      </c>
      <c r="I9" t="inlineStr">
        <is>
          <t xml:space="preserve"/>
        </is>
      </c>
      <c r="J9" t="inlineStr">
        <is>
          <t xml:space="preserve">Расчётный сценарий 4700134228: Исходная модель, Детальная модель!F54</t>
        </is>
      </c>
      <c r="K9" s="2">
        <v>0</v>
      </c>
      <c r="L9" t="inlineStr">
        <is>
          <t xml:space="preserve">true</t>
        </is>
      </c>
      <c r="M9" t="inlineStr">
        <is>
          <t xml:space="preserve">true</t>
        </is>
      </c>
      <c r="N9" t="inlineStr">
        <is>
          <t xml:space="preserve">true</t>
        </is>
      </c>
    </row>
    <row r="10">
      <c r="A10" t="inlineStr">
        <is>
          <t xml:space="preserve">4700134228</t>
        </is>
      </c>
      <c r="B10" t="inlineStr">
        <is>
          <t xml:space="preserve">Без исходных данных</t>
        </is>
      </c>
      <c r="C10" t="inlineStr">
        <is>
          <t xml:space="preserve">USD</t>
        </is>
      </c>
      <c r="D10" s="2">
        <v>80</v>
      </c>
      <c r="E10" t="inlineStr">
        <is>
          <t xml:space="preserve">Проектные материалы</t>
        </is>
      </c>
      <c r="F10" t="inlineStr">
        <is>
          <t xml:space="preserve">Прямые</t>
        </is>
      </c>
      <c r="G10" s="2">
        <v>10</v>
      </c>
      <c r="H10" t="inlineStr">
        <is>
          <t xml:space="preserve">materials</t>
        </is>
      </c>
      <c r="I10" t="inlineStr">
        <is>
          <t xml:space="preserve"/>
        </is>
      </c>
      <c r="J10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10" s="2">
        <v>0</v>
      </c>
      <c r="L10" t="inlineStr">
        <is>
          <t xml:space="preserve">true</t>
        </is>
      </c>
      <c r="M10" t="inlineStr">
        <is>
          <t xml:space="preserve">true</t>
        </is>
      </c>
      <c r="N10" t="inlineStr">
        <is>
          <t xml:space="preserve">true</t>
        </is>
      </c>
    </row>
    <row r="11">
      <c r="A11" t="inlineStr">
        <is>
          <t xml:space="preserve">4700134228</t>
        </is>
      </c>
      <c r="B11" t="inlineStr">
        <is>
          <t xml:space="preserve">Без исходных данных</t>
        </is>
      </c>
      <c r="C11" t="inlineStr">
        <is>
          <t xml:space="preserve">USD</t>
        </is>
      </c>
      <c r="D11" s="2">
        <v>80</v>
      </c>
      <c r="E11" t="inlineStr">
        <is>
          <t xml:space="preserve">Расходные материалы</t>
        </is>
      </c>
      <c r="F11" t="inlineStr">
        <is>
          <t xml:space="preserve">Прямые</t>
        </is>
      </c>
      <c r="G11" s="2">
        <v>10</v>
      </c>
      <c r="H11" t="inlineStr">
        <is>
          <t xml:space="preserve">percentPayroll</t>
        </is>
      </c>
      <c r="I11" t="inlineStr">
        <is>
          <t xml:space="preserve"/>
        </is>
      </c>
      <c r="J11" t="inlineStr">
        <is>
          <t xml:space="preserve">Расчётный сценарий 4700134228: Исходная модель, Детальная модель!F56</t>
        </is>
      </c>
      <c r="K11" s="2">
        <v>0</v>
      </c>
      <c r="L11" t="inlineStr">
        <is>
          <t xml:space="preserve">true</t>
        </is>
      </c>
      <c r="M11" t="inlineStr">
        <is>
          <t xml:space="preserve">true</t>
        </is>
      </c>
      <c r="N11" t="inlineStr">
        <is>
          <t xml:space="preserve">true</t>
        </is>
      </c>
    </row>
    <row r="12">
      <c r="A12" t="inlineStr">
        <is>
          <t xml:space="preserve">4700134228</t>
        </is>
      </c>
      <c r="B12" t="inlineStr">
        <is>
          <t xml:space="preserve">Без исходных данных</t>
        </is>
      </c>
      <c r="C12" t="inlineStr">
        <is>
          <t xml:space="preserve">USD</t>
        </is>
      </c>
      <c r="D12" s="2">
        <v>80</v>
      </c>
      <c r="E12" t="inlineStr">
        <is>
          <t xml:space="preserve">НРК</t>
        </is>
      </c>
      <c r="F12" t="inlineStr">
        <is>
          <t xml:space="preserve">Прямые</t>
        </is>
      </c>
      <c r="G12" s="2">
        <v>100</v>
      </c>
      <c r="H12" t="inlineStr">
        <is>
          <t xml:space="preserve">unit</t>
        </is>
      </c>
      <c r="I12" t="inlineStr">
        <is>
          <t xml:space="preserve"/>
        </is>
      </c>
      <c r="J12" t="inlineStr">
        <is>
          <t xml:space="preserve">Расчётный сценарий 4700134228: Исходная модель, Детальная модель!F57</t>
        </is>
      </c>
      <c r="K12" s="2">
        <v>0</v>
      </c>
      <c r="L12" t="inlineStr">
        <is>
          <t xml:space="preserve">true</t>
        </is>
      </c>
      <c r="M12" t="inlineStr">
        <is>
          <t xml:space="preserve">true</t>
        </is>
      </c>
      <c r="N12" t="inlineStr">
        <is>
          <t xml:space="preserve">true</t>
        </is>
      </c>
    </row>
    <row r="13">
      <c r="A13" t="inlineStr">
        <is>
          <t xml:space="preserve">4700134228</t>
        </is>
      </c>
      <c r="B13" t="inlineStr">
        <is>
          <t xml:space="preserve">Без исходных данных</t>
        </is>
      </c>
      <c r="C13" t="inlineStr">
        <is>
          <t xml:space="preserve">USD</t>
        </is>
      </c>
      <c r="D13" s="2">
        <v>80</v>
      </c>
      <c r="E13" t="inlineStr">
        <is>
          <t xml:space="preserve">Прочие прямые</t>
        </is>
      </c>
      <c r="F13" t="inlineStr">
        <is>
          <t xml:space="preserve">Прямые</t>
        </is>
      </c>
      <c r="G13" s="2">
        <v>0</v>
      </c>
      <c r="H13" t="inlineStr">
        <is>
          <t xml:space="preserve">manual</t>
        </is>
      </c>
      <c r="I13" t="inlineStr">
        <is>
          <t xml:space="preserve"/>
        </is>
      </c>
      <c r="J13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13" s="2">
        <v>0</v>
      </c>
      <c r="L13" t="inlineStr">
        <is>
          <t xml:space="preserve">true</t>
        </is>
      </c>
      <c r="M13" t="inlineStr">
        <is>
          <t xml:space="preserve">true</t>
        </is>
      </c>
      <c r="N13" t="inlineStr">
        <is>
          <t xml:space="preserve">true</t>
        </is>
      </c>
    </row>
    <row r="14">
      <c r="A14" t="inlineStr">
        <is>
          <t xml:space="preserve">4700134228</t>
        </is>
      </c>
      <c r="B14" t="inlineStr">
        <is>
          <t xml:space="preserve">Без исходных данных</t>
        </is>
      </c>
      <c r="C14" t="inlineStr">
        <is>
          <t xml:space="preserve">USD</t>
        </is>
      </c>
      <c r="D14" s="2">
        <v>80</v>
      </c>
      <c r="E14" t="inlineStr">
        <is>
          <t xml:space="preserve">Заработная плата</t>
        </is>
      </c>
      <c r="F14" t="inlineStr">
        <is>
          <t xml:space="preserve">Косвенные</t>
        </is>
      </c>
      <c r="G14" s="2">
        <v>5437.5</v>
      </c>
      <c r="H14" t="inlineStr">
        <is>
          <t xml:space="preserve">monthly</t>
        </is>
      </c>
      <c r="I14" t="inlineStr">
        <is>
          <t xml:space="preserve"/>
        </is>
      </c>
      <c r="J14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14" s="2">
        <v>0</v>
      </c>
      <c r="L14" t="inlineStr">
        <is>
          <t xml:space="preserve">true</t>
        </is>
      </c>
      <c r="M14" t="inlineStr">
        <is>
          <t xml:space="preserve">true</t>
        </is>
      </c>
      <c r="N14" t="inlineStr">
        <is>
          <t xml:space="preserve">false</t>
        </is>
      </c>
    </row>
    <row r="15">
      <c r="A15" t="inlineStr">
        <is>
          <t xml:space="preserve">4700134228</t>
        </is>
      </c>
      <c r="B15" t="inlineStr">
        <is>
          <t xml:space="preserve">Без исходных данных</t>
        </is>
      </c>
      <c r="C15" t="inlineStr">
        <is>
          <t xml:space="preserve">USD</t>
        </is>
      </c>
      <c r="D15" s="2">
        <v>80</v>
      </c>
      <c r="E15" t="inlineStr">
        <is>
          <t xml:space="preserve">НДФЛ</t>
        </is>
      </c>
      <c r="F15" t="inlineStr">
        <is>
          <t xml:space="preserve">Косвенные</t>
        </is>
      </c>
      <c r="G15" s="2">
        <v>13</v>
      </c>
      <c r="H15" t="inlineStr">
        <is>
          <t xml:space="preserve">rate</t>
        </is>
      </c>
      <c r="I15" t="inlineStr">
        <is>
          <t xml:space="preserve"/>
        </is>
      </c>
      <c r="J15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15" s="2">
        <v>0</v>
      </c>
      <c r="L15" t="inlineStr">
        <is>
          <t xml:space="preserve">true</t>
        </is>
      </c>
      <c r="M15" t="inlineStr">
        <is>
          <t xml:space="preserve">true</t>
        </is>
      </c>
      <c r="N15" t="inlineStr">
        <is>
          <t xml:space="preserve">false</t>
        </is>
      </c>
    </row>
    <row r="16">
      <c r="A16" t="inlineStr">
        <is>
          <t xml:space="preserve">4700134228</t>
        </is>
      </c>
      <c r="B16" t="inlineStr">
        <is>
          <t xml:space="preserve">Без исходных данных</t>
        </is>
      </c>
      <c r="C16" t="inlineStr">
        <is>
          <t xml:space="preserve">USD</t>
        </is>
      </c>
      <c r="D16" s="2">
        <v>80</v>
      </c>
      <c r="E16" t="inlineStr">
        <is>
          <t xml:space="preserve">Страховые взносы</t>
        </is>
      </c>
      <c r="F16" t="inlineStr">
        <is>
          <t xml:space="preserve">Косвенные</t>
        </is>
      </c>
      <c r="G16" s="2">
        <v>30.9</v>
      </c>
      <c r="H16" t="inlineStr">
        <is>
          <t xml:space="preserve">rate</t>
        </is>
      </c>
      <c r="I16" t="inlineStr">
        <is>
          <t xml:space="preserve"/>
        </is>
      </c>
      <c r="J16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16" s="2">
        <v>0</v>
      </c>
      <c r="L16" t="inlineStr">
        <is>
          <t xml:space="preserve">true</t>
        </is>
      </c>
      <c r="M16" t="inlineStr">
        <is>
          <t xml:space="preserve">true</t>
        </is>
      </c>
      <c r="N16" t="inlineStr">
        <is>
          <t xml:space="preserve">false</t>
        </is>
      </c>
    </row>
    <row r="17">
      <c r="A17" t="inlineStr">
        <is>
          <t xml:space="preserve">4700134228</t>
        </is>
      </c>
      <c r="B17" t="inlineStr">
        <is>
          <t xml:space="preserve">Без исходных данных</t>
        </is>
      </c>
      <c r="C17" t="inlineStr">
        <is>
          <t xml:space="preserve">USD</t>
        </is>
      </c>
      <c r="D17" s="2">
        <v>80</v>
      </c>
      <c r="E17" t="inlineStr">
        <is>
          <t xml:space="preserve">Резерв на отпуска</t>
        </is>
      </c>
      <c r="F17" t="inlineStr">
        <is>
          <t xml:space="preserve">Косвенные</t>
        </is>
      </c>
      <c r="G17" s="2">
        <v>9.226190476190476</v>
      </c>
      <c r="H17" t="inlineStr">
        <is>
          <t xml:space="preserve">rate</t>
        </is>
      </c>
      <c r="I17" t="inlineStr">
        <is>
          <t xml:space="preserve"/>
        </is>
      </c>
      <c r="J17" t="inlineStr">
        <is>
          <t xml:space="preserve">Расчётный сценарий 4700134228: Исходная модель, Детальная модель!F63 · Согласованные 8% годового ФОТ/мес.; F63 = 9,22619% на другой базе</t>
        </is>
      </c>
      <c r="K17" s="2">
        <v>0</v>
      </c>
      <c r="L17" t="inlineStr">
        <is>
          <t xml:space="preserve">true</t>
        </is>
      </c>
      <c r="M17" t="inlineStr">
        <is>
          <t xml:space="preserve">false</t>
        </is>
      </c>
      <c r="N17" t="inlineStr">
        <is>
          <t xml:space="preserve">false</t>
        </is>
      </c>
    </row>
    <row r="18">
      <c r="A18" t="inlineStr">
        <is>
          <t xml:space="preserve">4700134228</t>
        </is>
      </c>
      <c r="B18" t="inlineStr">
        <is>
          <t xml:space="preserve">Без исходных данных</t>
        </is>
      </c>
      <c r="C18" t="inlineStr">
        <is>
          <t xml:space="preserve">USD</t>
        </is>
      </c>
      <c r="D18" s="2">
        <v>80</v>
      </c>
      <c r="E18" t="inlineStr">
        <is>
          <t xml:space="preserve">Питание</t>
        </is>
      </c>
      <c r="F18" t="inlineStr">
        <is>
          <t xml:space="preserve">Косвенные</t>
        </is>
      </c>
      <c r="G18" s="2">
        <v>16.25</v>
      </c>
      <c r="H18" t="inlineStr">
        <is>
          <t xml:space="preserve">day</t>
        </is>
      </c>
      <c r="I18" t="inlineStr">
        <is>
          <t xml:space="preserve"/>
        </is>
      </c>
      <c r="J18" t="inlineStr">
        <is>
          <t xml:space="preserve">Расчётный сценарий 4700134228: Исходная модель, Детальная модель!F64</t>
        </is>
      </c>
      <c r="K18" s="2">
        <v>0</v>
      </c>
      <c r="L18" t="inlineStr">
        <is>
          <t xml:space="preserve">true</t>
        </is>
      </c>
      <c r="M18" t="inlineStr">
        <is>
          <t xml:space="preserve">true</t>
        </is>
      </c>
      <c r="N18" t="inlineStr">
        <is>
          <t xml:space="preserve">true</t>
        </is>
      </c>
    </row>
    <row r="19">
      <c r="A19" t="inlineStr">
        <is>
          <t xml:space="preserve">4700134228</t>
        </is>
      </c>
      <c r="B19" t="inlineStr">
        <is>
          <t xml:space="preserve">Без исходных данных</t>
        </is>
      </c>
      <c r="C19" t="inlineStr">
        <is>
          <t xml:space="preserve">USD</t>
        </is>
      </c>
      <c r="D19" s="2">
        <v>80</v>
      </c>
      <c r="E19" t="inlineStr">
        <is>
          <t xml:space="preserve">Проживание</t>
        </is>
      </c>
      <c r="F19" t="inlineStr">
        <is>
          <t xml:space="preserve">Косвенные</t>
        </is>
      </c>
      <c r="G19" s="2">
        <v>12.5</v>
      </c>
      <c r="H19" t="inlineStr">
        <is>
          <t xml:space="preserve">day</t>
        </is>
      </c>
      <c r="I19" t="inlineStr">
        <is>
          <t xml:space="preserve"/>
        </is>
      </c>
      <c r="J19" t="inlineStr">
        <is>
          <t xml:space="preserve">Расчётный сценарий 4700134228: Исходная модель, Детальная модель!F65</t>
        </is>
      </c>
      <c r="K19" s="2">
        <v>0</v>
      </c>
      <c r="L19" t="inlineStr">
        <is>
          <t xml:space="preserve">true</t>
        </is>
      </c>
      <c r="M19" t="inlineStr">
        <is>
          <t xml:space="preserve">true</t>
        </is>
      </c>
      <c r="N19" t="inlineStr">
        <is>
          <t xml:space="preserve">true</t>
        </is>
      </c>
    </row>
    <row r="20">
      <c r="A20" t="inlineStr">
        <is>
          <t xml:space="preserve">4700134228</t>
        </is>
      </c>
      <c r="B20" t="inlineStr">
        <is>
          <t xml:space="preserve">Без исходных данных</t>
        </is>
      </c>
      <c r="C20" t="inlineStr">
        <is>
          <t xml:space="preserve">USD</t>
        </is>
      </c>
      <c r="D20" s="2">
        <v>80</v>
      </c>
      <c r="E20" t="inlineStr">
        <is>
          <t xml:space="preserve">Аренда автобусов</t>
        </is>
      </c>
      <c r="F20" t="inlineStr">
        <is>
          <t xml:space="preserve">Косвенные</t>
        </is>
      </c>
      <c r="G20" s="2">
        <v>15983.60655737705</v>
      </c>
      <c r="H20" t="inlineStr">
        <is>
          <t xml:space="preserve">unit</t>
        </is>
      </c>
      <c r="I20" t="inlineStr">
        <is>
          <t xml:space="preserve"/>
        </is>
      </c>
      <c r="J20" t="inlineStr">
        <is>
          <t xml:space="preserve">Расчётный сценарий 4700134228: Исходная модель, Детальная модель!F66</t>
        </is>
      </c>
      <c r="K20" s="2">
        <v>0</v>
      </c>
      <c r="L20" t="inlineStr">
        <is>
          <t xml:space="preserve">true</t>
        </is>
      </c>
      <c r="M20" t="inlineStr">
        <is>
          <t xml:space="preserve">true</t>
        </is>
      </c>
      <c r="N20" t="inlineStr">
        <is>
          <t xml:space="preserve">true</t>
        </is>
      </c>
    </row>
    <row r="21">
      <c r="A21" t="inlineStr">
        <is>
          <t xml:space="preserve">4700134228</t>
        </is>
      </c>
      <c r="B21" t="inlineStr">
        <is>
          <t xml:space="preserve">Без исходных данных</t>
        </is>
      </c>
      <c r="C21" t="inlineStr">
        <is>
          <t xml:space="preserve">USD</t>
        </is>
      </c>
      <c r="D21" s="2">
        <v>80</v>
      </c>
      <c r="E21" t="inlineStr">
        <is>
          <t xml:space="preserve">Аренда автомобиля</t>
        </is>
      </c>
      <c r="F21" t="inlineStr">
        <is>
          <t xml:space="preserve">Косвенные</t>
        </is>
      </c>
      <c r="G21" s="2">
        <v>7991.803278688525</v>
      </c>
      <c r="H21" t="inlineStr">
        <is>
          <t xml:space="preserve">unit</t>
        </is>
      </c>
      <c r="I21" t="inlineStr">
        <is>
          <t xml:space="preserve"/>
        </is>
      </c>
      <c r="J21" t="inlineStr">
        <is>
          <t xml:space="preserve">Расчётный сценарий 4700134228: Исходная модель, Детальная модель!F67</t>
        </is>
      </c>
      <c r="K21" s="2">
        <v>0</v>
      </c>
      <c r="L21" t="inlineStr">
        <is>
          <t xml:space="preserve">true</t>
        </is>
      </c>
      <c r="M21" t="inlineStr">
        <is>
          <t xml:space="preserve">true</t>
        </is>
      </c>
      <c r="N21" t="inlineStr">
        <is>
          <t xml:space="preserve">true</t>
        </is>
      </c>
    </row>
    <row r="22">
      <c r="A22" t="inlineStr">
        <is>
          <t xml:space="preserve">4700134228</t>
        </is>
      </c>
      <c r="B22" t="inlineStr">
        <is>
          <t xml:space="preserve">Без исходных данных</t>
        </is>
      </c>
      <c r="C22" t="inlineStr">
        <is>
          <t xml:space="preserve">USD</t>
        </is>
      </c>
      <c r="D22" s="2">
        <v>80</v>
      </c>
      <c r="E22" t="inlineStr">
        <is>
          <t xml:space="preserve">Аренда опалубки</t>
        </is>
      </c>
      <c r="F22" t="inlineStr">
        <is>
          <t xml:space="preserve">Косвенные</t>
        </is>
      </c>
      <c r="G22" s="2">
        <v>0</v>
      </c>
      <c r="H22" t="inlineStr">
        <is>
          <t xml:space="preserve">manual</t>
        </is>
      </c>
      <c r="I22" t="inlineStr">
        <is>
          <t xml:space="preserve"/>
        </is>
      </c>
      <c r="J22" t="inlineStr">
        <is>
          <t xml:space="preserve">Расчётный сценарий 4700134228: Исходная модель, строка 53 · Нет отдельной ставки; факт по первичке</t>
        </is>
      </c>
      <c r="K22" s="2">
        <v>0</v>
      </c>
      <c r="L22" t="inlineStr">
        <is>
          <t xml:space="preserve">true</t>
        </is>
      </c>
      <c r="M22" t="inlineStr">
        <is>
          <t xml:space="preserve">true</t>
        </is>
      </c>
      <c r="N22" t="inlineStr">
        <is>
          <t xml:space="preserve">true</t>
        </is>
      </c>
    </row>
    <row r="23">
      <c r="A23" t="inlineStr">
        <is>
          <t xml:space="preserve">4700134228</t>
        </is>
      </c>
      <c r="B23" t="inlineStr">
        <is>
          <t xml:space="preserve">Без исходных данных</t>
        </is>
      </c>
      <c r="C23" t="inlineStr">
        <is>
          <t xml:space="preserve">USD</t>
        </is>
      </c>
      <c r="D23" s="2">
        <v>80</v>
      </c>
      <c r="E23" t="inlineStr">
        <is>
          <t xml:space="preserve">СИЗы</t>
        </is>
      </c>
      <c r="F23" t="inlineStr">
        <is>
          <t xml:space="preserve">Косвенные</t>
        </is>
      </c>
      <c r="G23" s="2">
        <v>750</v>
      </c>
      <c r="H23" t="inlineStr">
        <is>
          <t xml:space="preserve">annualPerPerson</t>
        </is>
      </c>
      <c r="I23" t="inlineStr">
        <is>
          <t xml:space="preserve"/>
        </is>
      </c>
      <c r="J23" t="inlineStr">
        <is>
          <t xml:space="preserve">Расчётный сценарий 4700134228: Исходная модель, Детальная модель!F68</t>
        </is>
      </c>
      <c r="K23" s="2">
        <v>0</v>
      </c>
      <c r="L23" t="inlineStr">
        <is>
          <t xml:space="preserve">true</t>
        </is>
      </c>
      <c r="M23" t="inlineStr">
        <is>
          <t xml:space="preserve">true</t>
        </is>
      </c>
      <c r="N23" t="inlineStr">
        <is>
          <t xml:space="preserve">true</t>
        </is>
      </c>
    </row>
    <row r="24">
      <c r="A24" t="inlineStr">
        <is>
          <t xml:space="preserve">4700134228</t>
        </is>
      </c>
      <c r="B24" t="inlineStr">
        <is>
          <t xml:space="preserve">Без исходных данных</t>
        </is>
      </c>
      <c r="C24" t="inlineStr">
        <is>
          <t xml:space="preserve">USD</t>
        </is>
      </c>
      <c r="D24" s="2">
        <v>80</v>
      </c>
      <c r="E24" t="inlineStr">
        <is>
          <t xml:space="preserve">Приобретение билетов</t>
        </is>
      </c>
      <c r="F24" t="inlineStr">
        <is>
          <t xml:space="preserve">Косвенные</t>
        </is>
      </c>
      <c r="G24" s="2">
        <v>1000</v>
      </c>
      <c r="H24" t="inlineStr">
        <is>
          <t xml:space="preserve">rotation</t>
        </is>
      </c>
      <c r="I24" t="inlineStr">
        <is>
          <t xml:space="preserve"/>
        </is>
      </c>
      <c r="J24" t="inlineStr">
        <is>
          <t xml:space="preserve">Расчётный сценарий 4700134228: Исходная модель, Детальная модель!F69</t>
        </is>
      </c>
      <c r="K24" s="2">
        <v>0</v>
      </c>
      <c r="L24" t="inlineStr">
        <is>
          <t xml:space="preserve">true</t>
        </is>
      </c>
      <c r="M24" t="inlineStr">
        <is>
          <t xml:space="preserve">true</t>
        </is>
      </c>
      <c r="N24" t="inlineStr">
        <is>
          <t xml:space="preserve">true</t>
        </is>
      </c>
    </row>
    <row r="25">
      <c r="A25" t="inlineStr">
        <is>
          <t xml:space="preserve">4700134228</t>
        </is>
      </c>
      <c r="B25" t="inlineStr">
        <is>
          <t xml:space="preserve">Без исходных данных</t>
        </is>
      </c>
      <c r="C25" t="inlineStr">
        <is>
          <t xml:space="preserve">USD</t>
        </is>
      </c>
      <c r="D25" s="2">
        <v>80</v>
      </c>
      <c r="E25" t="inlineStr">
        <is>
          <t xml:space="preserve">Разрешение на работу</t>
        </is>
      </c>
      <c r="F25" t="inlineStr">
        <is>
          <t xml:space="preserve">Косвенные</t>
        </is>
      </c>
      <c r="G25" s="2">
        <v>200</v>
      </c>
      <c r="H25" t="inlineStr">
        <is>
          <t xml:space="preserve">perPerson</t>
        </is>
      </c>
      <c r="I25" t="inlineStr">
        <is>
          <t xml:space="preserve"/>
        </is>
      </c>
      <c r="J25" t="inlineStr">
        <is>
          <t xml:space="preserve">Расчётный сценарий 4700134228: Исходная модель, Детальная модель!F70</t>
        </is>
      </c>
      <c r="K25" s="2">
        <v>0</v>
      </c>
      <c r="L25" t="inlineStr">
        <is>
          <t xml:space="preserve">true</t>
        </is>
      </c>
      <c r="M25" t="inlineStr">
        <is>
          <t xml:space="preserve">true</t>
        </is>
      </c>
      <c r="N25" t="inlineStr">
        <is>
          <t xml:space="preserve">true</t>
        </is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t="inlineStr">
        <is>
          <t xml:space="preserve">USD</t>
        </is>
      </c>
      <c r="D26" s="2">
        <v>80</v>
      </c>
      <c r="E26" t="inlineStr">
        <is>
          <t xml:space="preserve">Медицинские услуги</t>
        </is>
      </c>
      <c r="F26" t="inlineStr">
        <is>
          <t xml:space="preserve">Косвенные</t>
        </is>
      </c>
      <c r="G26" s="2">
        <v>75</v>
      </c>
      <c r="H26" t="inlineStr">
        <is>
          <t xml:space="preserve">perPerson</t>
        </is>
      </c>
      <c r="I26" t="inlineStr">
        <is>
          <t xml:space="preserve"/>
        </is>
      </c>
      <c r="J26" t="inlineStr">
        <is>
          <t xml:space="preserve">Расчётный сценарий 4700134228: Исходная модель, Детальная модель!F71</t>
        </is>
      </c>
      <c r="K26" s="2">
        <v>0</v>
      </c>
      <c r="L26" t="inlineStr">
        <is>
          <t xml:space="preserve">true</t>
        </is>
      </c>
      <c r="M26" t="inlineStr">
        <is>
          <t xml:space="preserve">true</t>
        </is>
      </c>
      <c r="N26" t="inlineStr">
        <is>
          <t xml:space="preserve">true</t>
        </is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t="inlineStr">
        <is>
          <t xml:space="preserve">USD</t>
        </is>
      </c>
      <c r="D27" s="2">
        <v>80</v>
      </c>
      <c r="E27" t="inlineStr">
        <is>
          <t xml:space="preserve">ВЗиС для ОР</t>
        </is>
      </c>
      <c r="F27" t="inlineStr">
        <is>
          <t xml:space="preserve">Косвенные</t>
        </is>
      </c>
      <c r="G27" s="2">
        <v>41.66666666666667</v>
      </c>
      <c r="H27" t="inlineStr">
        <is>
          <t xml:space="preserve">annualPerPerson</t>
        </is>
      </c>
      <c r="I27" t="inlineStr">
        <is>
          <t xml:space="preserve"/>
        </is>
      </c>
      <c r="J27" t="inlineStr">
        <is>
          <t xml:space="preserve">Расчётный сценарий 4700134228: Исходная модель, Детальная модель!F72</t>
        </is>
      </c>
      <c r="K27" s="2">
        <v>0</v>
      </c>
      <c r="L27" t="inlineStr">
        <is>
          <t xml:space="preserve">true</t>
        </is>
      </c>
      <c r="M27" t="inlineStr">
        <is>
          <t xml:space="preserve">true</t>
        </is>
      </c>
      <c r="N27" t="inlineStr">
        <is>
          <t xml:space="preserve">true</t>
        </is>
      </c>
    </row>
    <row r="28">
      <c r="A28" t="inlineStr">
        <is>
          <t xml:space="preserve">4700134228</t>
        </is>
      </c>
      <c r="B28" t="inlineStr">
        <is>
          <t xml:space="preserve">Без исходных данных</t>
        </is>
      </c>
      <c r="C28" t="inlineStr">
        <is>
          <t xml:space="preserve">USD</t>
        </is>
      </c>
      <c r="D28" s="2">
        <v>80</v>
      </c>
      <c r="E28" t="inlineStr">
        <is>
          <t xml:space="preserve">Аренда офиса</t>
        </is>
      </c>
      <c r="F28" t="inlineStr">
        <is>
          <t xml:space="preserve">Косвенные</t>
        </is>
      </c>
      <c r="G28" s="2">
        <v>7500</v>
      </c>
      <c r="H28" t="inlineStr">
        <is>
          <t xml:space="preserve">monthly</t>
        </is>
      </c>
      <c r="I28" t="inlineStr">
        <is>
          <t xml:space="preserve"/>
        </is>
      </c>
      <c r="J28" t="inlineStr">
        <is>
          <t xml:space="preserve">Расчётный сценарий 4700134228: Исходная модель, Детальная модель!F73</t>
        </is>
      </c>
      <c r="K28" s="2">
        <v>0</v>
      </c>
      <c r="L28" t="inlineStr">
        <is>
          <t xml:space="preserve">true</t>
        </is>
      </c>
      <c r="M28" t="inlineStr">
        <is>
          <t xml:space="preserve">true</t>
        </is>
      </c>
      <c r="N28" t="inlineStr">
        <is>
          <t xml:space="preserve">true</t>
        </is>
      </c>
    </row>
    <row r="29">
      <c r="A29" t="inlineStr">
        <is>
          <t xml:space="preserve">4700134228</t>
        </is>
      </c>
      <c r="B29" t="inlineStr">
        <is>
          <t xml:space="preserve">Без исходных данных</t>
        </is>
      </c>
      <c r="C29" t="inlineStr">
        <is>
          <t xml:space="preserve">USD</t>
        </is>
      </c>
      <c r="D29" s="2">
        <v>80</v>
      </c>
      <c r="E29" t="inlineStr">
        <is>
          <t xml:space="preserve">Аренда склада</t>
        </is>
      </c>
      <c r="F29" t="inlineStr">
        <is>
          <t xml:space="preserve">Косвенные</t>
        </is>
      </c>
      <c r="G29" s="2">
        <v>20000</v>
      </c>
      <c r="H29" t="inlineStr">
        <is>
          <t xml:space="preserve">monthly</t>
        </is>
      </c>
      <c r="I29" t="inlineStr">
        <is>
          <t xml:space="preserve"/>
        </is>
      </c>
      <c r="J29" t="inlineStr">
        <is>
          <t xml:space="preserve">Расчётный сценарий 4700134228: Исходная модель, Детальная модель!F74</t>
        </is>
      </c>
      <c r="K29" s="2">
        <v>0</v>
      </c>
      <c r="L29" t="inlineStr">
        <is>
          <t xml:space="preserve">true</t>
        </is>
      </c>
      <c r="M29" t="inlineStr">
        <is>
          <t xml:space="preserve">true</t>
        </is>
      </c>
      <c r="N29" t="inlineStr">
        <is>
          <t xml:space="preserve">true</t>
        </is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t="inlineStr">
        <is>
          <t xml:space="preserve">USD</t>
        </is>
      </c>
      <c r="D30" s="2">
        <v>80</v>
      </c>
      <c r="E30" t="inlineStr">
        <is>
          <t xml:space="preserve">Интернет</t>
        </is>
      </c>
      <c r="F30" t="inlineStr">
        <is>
          <t xml:space="preserve">Косвенные</t>
        </is>
      </c>
      <c r="G30" s="2">
        <v>0</v>
      </c>
      <c r="H30" t="inlineStr">
        <is>
          <t xml:space="preserve">monthly</t>
        </is>
      </c>
      <c r="I30" t="inlineStr">
        <is>
          <t xml:space="preserve"/>
        </is>
      </c>
      <c r="J30" t="inlineStr">
        <is>
          <t xml:space="preserve">Расчётный сценарий 4700134228: Исходная модель, строка 74 · Нет ставки в исходной модели; первичка</t>
        </is>
      </c>
      <c r="K30" s="2">
        <v>0</v>
      </c>
      <c r="L30" t="inlineStr">
        <is>
          <t xml:space="preserve">true</t>
        </is>
      </c>
      <c r="M30" t="inlineStr">
        <is>
          <t xml:space="preserve">true</t>
        </is>
      </c>
      <c r="N30" t="inlineStr">
        <is>
          <t xml:space="preserve">true</t>
        </is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t="inlineStr">
        <is>
          <t xml:space="preserve">USD</t>
        </is>
      </c>
      <c r="D31" s="2">
        <v>80</v>
      </c>
      <c r="E31" t="inlineStr">
        <is>
          <t xml:space="preserve">Обращение с ТБО и ЖБО</t>
        </is>
      </c>
      <c r="F31" t="inlineStr">
        <is>
          <t xml:space="preserve">Косвенные</t>
        </is>
      </c>
      <c r="G31" s="2">
        <v>0</v>
      </c>
      <c r="H31" t="inlineStr">
        <is>
          <t xml:space="preserve">monthly</t>
        </is>
      </c>
      <c r="I31" t="inlineStr">
        <is>
          <t xml:space="preserve"/>
        </is>
      </c>
      <c r="J31" t="inlineStr">
        <is>
          <t xml:space="preserve">Расчётный сценарий 4700134228: Исходная модель, строка 74 · Нет ставки в исходной модели; первичка</t>
        </is>
      </c>
      <c r="K31" s="2">
        <v>0</v>
      </c>
      <c r="L31" t="inlineStr">
        <is>
          <t xml:space="preserve">true</t>
        </is>
      </c>
      <c r="M31" t="inlineStr">
        <is>
          <t xml:space="preserve">true</t>
        </is>
      </c>
      <c r="N31" t="inlineStr">
        <is>
          <t xml:space="preserve">true</t>
        </is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t="inlineStr">
        <is>
          <t xml:space="preserve">USD</t>
        </is>
      </c>
      <c r="D32" s="2">
        <v>80</v>
      </c>
      <c r="E32" t="inlineStr">
        <is>
          <t xml:space="preserve">Охрана труда</t>
        </is>
      </c>
      <c r="F32" t="inlineStr">
        <is>
          <t xml:space="preserve">Косвенные</t>
        </is>
      </c>
      <c r="G32" s="2">
        <v>1</v>
      </c>
      <c r="H32" t="inlineStr">
        <is>
          <t xml:space="preserve">percentPayroll</t>
        </is>
      </c>
      <c r="I32" t="inlineStr">
        <is>
          <t xml:space="preserve"/>
        </is>
      </c>
      <c r="J32" t="inlineStr">
        <is>
          <t xml:space="preserve">Расчётный сценарий 4700134228: Исходная модель, Детальная модель!F75</t>
        </is>
      </c>
      <c r="K32" s="2">
        <v>0</v>
      </c>
      <c r="L32" t="inlineStr">
        <is>
          <t xml:space="preserve">true</t>
        </is>
      </c>
      <c r="M32" t="inlineStr">
        <is>
          <t xml:space="preserve">true</t>
        </is>
      </c>
      <c r="N32" t="inlineStr">
        <is>
          <t xml:space="preserve">true</t>
        </is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t="inlineStr">
        <is>
          <t xml:space="preserve">USD</t>
        </is>
      </c>
      <c r="D33" s="2">
        <v>80</v>
      </c>
      <c r="E33" t="inlineStr">
        <is>
          <t xml:space="preserve">Страхование от НС</t>
        </is>
      </c>
      <c r="F33" t="inlineStr">
        <is>
          <t xml:space="preserve">Косвенные</t>
        </is>
      </c>
      <c r="G33" s="2">
        <v>125</v>
      </c>
      <c r="H33" t="inlineStr">
        <is>
          <t xml:space="preserve">annualPerPerson</t>
        </is>
      </c>
      <c r="I33" t="inlineStr">
        <is>
          <t xml:space="preserve"/>
        </is>
      </c>
      <c r="J33" t="inlineStr">
        <is>
          <t xml:space="preserve">Расчётный сценарий 4700134228: Исходная модель, Детальная модель!F76</t>
        </is>
      </c>
      <c r="K33" s="2">
        <v>0</v>
      </c>
      <c r="L33" t="inlineStr">
        <is>
          <t xml:space="preserve">true</t>
        </is>
      </c>
      <c r="M33" t="inlineStr">
        <is>
          <t xml:space="preserve">true</t>
        </is>
      </c>
      <c r="N33" t="inlineStr">
        <is>
          <t xml:space="preserve">true</t>
        </is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t="inlineStr">
        <is>
          <t xml:space="preserve">USD</t>
        </is>
      </c>
      <c r="D34" s="2">
        <v>80</v>
      </c>
      <c r="E34" t="inlineStr">
        <is>
          <t xml:space="preserve">IT-материалы</t>
        </is>
      </c>
      <c r="F34" t="inlineStr">
        <is>
          <t xml:space="preserve">Косвенные</t>
        </is>
      </c>
      <c r="G34" s="2">
        <v>0</v>
      </c>
      <c r="H34" t="inlineStr">
        <is>
          <t xml:space="preserve">manual</t>
        </is>
      </c>
      <c r="I34" t="inlineStr">
        <is>
          <t xml:space="preserve"/>
        </is>
      </c>
      <c r="J34" t="inlineStr">
        <is>
          <t xml:space="preserve">Расчётный сценарий 4700134228: Исходная модель, строка 77 · Нет ставки в исходной модели; первичка</t>
        </is>
      </c>
      <c r="K34" s="2">
        <v>0</v>
      </c>
      <c r="L34" t="inlineStr">
        <is>
          <t xml:space="preserve">true</t>
        </is>
      </c>
      <c r="M34" t="inlineStr">
        <is>
          <t xml:space="preserve">true</t>
        </is>
      </c>
      <c r="N34" t="inlineStr">
        <is>
          <t xml:space="preserve">true</t>
        </is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t="inlineStr">
        <is>
          <t xml:space="preserve">USD</t>
        </is>
      </c>
      <c r="D35" s="2">
        <v>80</v>
      </c>
      <c r="E35" t="inlineStr">
        <is>
          <t xml:space="preserve">Приобретение контейнеров</t>
        </is>
      </c>
      <c r="F35" t="inlineStr">
        <is>
          <t xml:space="preserve">Косвенные</t>
        </is>
      </c>
      <c r="G35" s="2">
        <v>0</v>
      </c>
      <c r="H35" t="inlineStr">
        <is>
          <t xml:space="preserve">manual</t>
        </is>
      </c>
      <c r="I35" t="inlineStr">
        <is>
          <t xml:space="preserve"/>
        </is>
      </c>
      <c r="J35" t="inlineStr">
        <is>
          <t xml:space="preserve">Расчётный сценарий 4700134228: Исходная модель, строка 77 · Нет ставки в исходной модели; первичка</t>
        </is>
      </c>
      <c r="K35" s="2">
        <v>0</v>
      </c>
      <c r="L35" t="inlineStr">
        <is>
          <t xml:space="preserve">true</t>
        </is>
      </c>
      <c r="M35" t="inlineStr">
        <is>
          <t xml:space="preserve">true</t>
        </is>
      </c>
      <c r="N35" t="inlineStr">
        <is>
          <t xml:space="preserve">true</t>
        </is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t="inlineStr">
        <is>
          <t xml:space="preserve">USD</t>
        </is>
      </c>
      <c r="D36" s="2">
        <v>80</v>
      </c>
      <c r="E36" t="inlineStr">
        <is>
          <t xml:space="preserve">Приобретение модульного офиса</t>
        </is>
      </c>
      <c r="F36" t="inlineStr">
        <is>
          <t xml:space="preserve">Косвенные</t>
        </is>
      </c>
      <c r="G36" s="2">
        <v>0</v>
      </c>
      <c r="H36" t="inlineStr">
        <is>
          <t xml:space="preserve">manual</t>
        </is>
      </c>
      <c r="I36" t="inlineStr">
        <is>
          <t xml:space="preserve"/>
        </is>
      </c>
      <c r="J36" t="inlineStr">
        <is>
          <t xml:space="preserve">Расчётный сценарий 4700134228: Исходная модель, строка 77 · Нет ставки в исходной модели; первичка</t>
        </is>
      </c>
      <c r="K36" s="2">
        <v>0</v>
      </c>
      <c r="L36" t="inlineStr">
        <is>
          <t xml:space="preserve">true</t>
        </is>
      </c>
      <c r="M36" t="inlineStr">
        <is>
          <t xml:space="preserve">true</t>
        </is>
      </c>
      <c r="N36" t="inlineStr">
        <is>
          <t xml:space="preserve">true</t>
        </is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t="inlineStr">
        <is>
          <t xml:space="preserve">USD</t>
        </is>
      </c>
      <c r="D37" s="2">
        <v>80</v>
      </c>
      <c r="E37" t="inlineStr">
        <is>
          <t xml:space="preserve">Транспортные услуги</t>
        </is>
      </c>
      <c r="F37" t="inlineStr">
        <is>
          <t xml:space="preserve">Косвенные</t>
        </is>
      </c>
      <c r="G37" s="2">
        <v>0</v>
      </c>
      <c r="H37" t="inlineStr">
        <is>
          <t xml:space="preserve">manual</t>
        </is>
      </c>
      <c r="I37" t="inlineStr">
        <is>
          <t xml:space="preserve"/>
        </is>
      </c>
      <c r="J37" t="inlineStr">
        <is>
          <t xml:space="preserve">Расчётный сценарий 4700134228: Исходная модель, строка 77 · Нет ставки в исходной модели; первичка</t>
        </is>
      </c>
      <c r="K37" s="2">
        <v>0</v>
      </c>
      <c r="L37" t="inlineStr">
        <is>
          <t xml:space="preserve">true</t>
        </is>
      </c>
      <c r="M37" t="inlineStr">
        <is>
          <t xml:space="preserve">true</t>
        </is>
      </c>
      <c r="N37" t="inlineStr">
        <is>
          <t xml:space="preserve">true</t>
        </is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t="inlineStr">
        <is>
          <t xml:space="preserve">USD</t>
        </is>
      </c>
      <c r="D38" s="2">
        <v>80</v>
      </c>
      <c r="E38" t="inlineStr">
        <is>
          <t xml:space="preserve">Прочие косвенные расходы</t>
        </is>
      </c>
      <c r="F38" t="inlineStr">
        <is>
          <t xml:space="preserve">Косвенные</t>
        </is>
      </c>
      <c r="G38" s="2">
        <v>10</v>
      </c>
      <c r="H38" t="inlineStr">
        <is>
          <t xml:space="preserve">percentDirect</t>
        </is>
      </c>
      <c r="I38" t="inlineStr">
        <is>
          <t xml:space="preserve"/>
        </is>
      </c>
      <c r="J38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38" s="2">
        <v>0</v>
      </c>
      <c r="L38" t="inlineStr">
        <is>
          <t xml:space="preserve">true</t>
        </is>
      </c>
      <c r="M38" t="inlineStr">
        <is>
          <t xml:space="preserve">true</t>
        </is>
      </c>
      <c r="N38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Год</t>
        </is>
      </c>
      <c r="D1" s="1" t="inlineStr">
        <is>
          <t xml:space="preserve">Валюта</t>
        </is>
      </c>
      <c r="E1" s="1" t="inlineStr">
        <is>
          <t xml:space="preserve">Курс к RUB</t>
        </is>
      </c>
      <c r="F1" s="1" t="inlineStr">
        <is>
          <t xml:space="preserve">Показатель</t>
        </is>
      </c>
      <c r="G1" s="1" t="inlineStr">
        <is>
          <t xml:space="preserve">Янв</t>
        </is>
      </c>
      <c r="H1" s="1" t="inlineStr">
        <is>
          <t xml:space="preserve">Фев</t>
        </is>
      </c>
      <c r="I1" s="1" t="inlineStr">
        <is>
          <t xml:space="preserve">Мар</t>
        </is>
      </c>
      <c r="J1" s="1" t="inlineStr">
        <is>
          <t xml:space="preserve">Апр</t>
        </is>
      </c>
      <c r="K1" s="1" t="inlineStr">
        <is>
          <t xml:space="preserve">Май</t>
        </is>
      </c>
      <c r="L1" s="1" t="inlineStr">
        <is>
          <t xml:space="preserve">Июн</t>
        </is>
      </c>
      <c r="M1" s="1" t="inlineStr">
        <is>
          <t xml:space="preserve">Июл</t>
        </is>
      </c>
      <c r="N1" s="1" t="inlineStr">
        <is>
          <t xml:space="preserve">Авг</t>
        </is>
      </c>
      <c r="O1" s="1" t="inlineStr">
        <is>
          <t xml:space="preserve">Сен</t>
        </is>
      </c>
      <c r="P1" s="1" t="inlineStr">
        <is>
          <t xml:space="preserve">Окт</t>
        </is>
      </c>
      <c r="Q1" s="1" t="inlineStr">
        <is>
          <t xml:space="preserve">Ноя</t>
        </is>
      </c>
      <c r="R1" s="1" t="inlineStr">
        <is>
          <t xml:space="preserve">Дек</t>
        </is>
      </c>
      <c r="S1" s="1" t="inlineStr">
        <is>
          <t xml:space="preserve">Итого / конец года</t>
        </is>
      </c>
    </row>
    <row r="2">
      <c r="A2" s="4" t="inlineStr">
        <is>
          <t xml:space="preserve">4700134228</t>
        </is>
      </c>
      <c r="B2" s="4" t="inlineStr">
        <is>
          <t xml:space="preserve">Без исходных данных</t>
        </is>
      </c>
      <c r="C2" s="4">
        <v>2026</v>
      </c>
      <c r="D2" s="4" t="inlineStr">
        <is>
          <t xml:space="preserve">USD</t>
        </is>
      </c>
      <c r="E2" s="4">
        <v>80</v>
      </c>
      <c r="F2" s="4" t="inlineStr">
        <is>
          <t xml:space="preserve">Источник: Физический объём выполнения (КСГ / KQ-2)</t>
        </is>
      </c>
      <c r="G2" s="4">
        <v>8880.160000000002</v>
      </c>
      <c r="H2" s="4">
        <v>7032.24</v>
      </c>
      <c r="I2" s="4">
        <v>10582.28</v>
      </c>
      <c r="J2" s="4">
        <v>9278.360000000002</v>
      </c>
      <c r="K2" s="4">
        <v>4727.799999999999</v>
      </c>
      <c r="L2" s="4">
        <v>6371.719999999999</v>
      </c>
      <c r="M2" s="4">
        <v>2176.54</v>
      </c>
      <c r="N2" s="4">
        <v>7165.499999999999</v>
      </c>
      <c r="O2" s="4">
        <v>6542.160000000001</v>
      </c>
      <c r="P2" s="4">
        <v>19045.679999999997</v>
      </c>
      <c r="Q2" s="4">
        <v>59445.10000000001</v>
      </c>
      <c r="R2" s="4">
        <v>59872.15999999999</v>
      </c>
      <c r="S2" s="4">
        <v>201119.7</v>
      </c>
    </row>
    <row r="3">
      <c r="A3" s="4" t="inlineStr">
        <is>
          <t xml:space="preserve">4700134228</t>
        </is>
      </c>
      <c r="B3" s="4" t="inlineStr">
        <is>
          <t xml:space="preserve">Без исходных данных</t>
        </is>
      </c>
      <c r="C3" s="4">
        <v>2026</v>
      </c>
      <c r="D3" s="4" t="inlineStr">
        <is>
          <t xml:space="preserve">USD</t>
        </is>
      </c>
      <c r="E3" s="4">
        <v>80</v>
      </c>
      <c r="F3" s="4" t="inlineStr">
        <is>
          <t xml:space="preserve">Источник: Расценка BOQ на единицу KQ-2</t>
        </is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>
      <c r="A4" s="4" t="inlineStr">
        <is>
          <t xml:space="preserve">4700134228</t>
        </is>
      </c>
      <c r="B4" s="4" t="inlineStr">
        <is>
          <t xml:space="preserve">Без исходных данных</t>
        </is>
      </c>
      <c r="C4" s="4">
        <v>2026</v>
      </c>
      <c r="D4" s="4" t="inlineStr">
        <is>
          <t xml:space="preserve">USD</t>
        </is>
      </c>
      <c r="E4" s="4">
        <v>80</v>
      </c>
      <c r="F4" s="4" t="inlineStr">
        <is>
          <t xml:space="preserve">Источник: Выполнение в денежном выражении (ручной ряд)</t>
        </is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>
      <c r="A5" s="4" t="inlineStr">
        <is>
          <t xml:space="preserve">4700134228</t>
        </is>
      </c>
      <c r="B5" s="4" t="inlineStr">
        <is>
          <t xml:space="preserve">Без исходных данных</t>
        </is>
      </c>
      <c r="C5" s="4">
        <v>2026</v>
      </c>
      <c r="D5" s="4" t="inlineStr">
        <is>
          <t xml:space="preserve">USD</t>
        </is>
      </c>
      <c r="E5" s="4">
        <v>80</v>
      </c>
      <c r="F5" s="4" t="inlineStr">
        <is>
          <t xml:space="preserve">Источник: Прочие доходы</t>
        </is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>
      <c r="A6" s="4" t="inlineStr">
        <is>
          <t xml:space="preserve">4700134228</t>
        </is>
      </c>
      <c r="B6" s="4" t="inlineStr">
        <is>
          <t xml:space="preserve">Без исходных данных</t>
        </is>
      </c>
      <c r="C6" s="4">
        <v>2026</v>
      </c>
      <c r="D6" s="4" t="inlineStr">
        <is>
          <t xml:space="preserve">USD</t>
        </is>
      </c>
      <c r="E6" s="4">
        <v>80</v>
      </c>
      <c r="F6" s="4" t="inlineStr">
        <is>
          <t xml:space="preserve">Источник: Материалы</t>
        </is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>
      <c r="A7" s="4" t="inlineStr">
        <is>
          <t xml:space="preserve">4700134228</t>
        </is>
      </c>
      <c r="B7" s="4" t="inlineStr">
        <is>
          <t xml:space="preserve">Без исходных данных</t>
        </is>
      </c>
      <c r="C7" s="4">
        <v>2026</v>
      </c>
      <c r="D7" s="4" t="inlineStr">
        <is>
          <t xml:space="preserve">USD</t>
        </is>
      </c>
      <c r="E7" s="4">
        <v>80</v>
      </c>
      <c r="F7" s="4" t="inlineStr">
        <is>
          <t xml:space="preserve">Источник: Основной персонал, FTE</t>
        </is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>
      <c r="A8" s="4" t="inlineStr">
        <is>
          <t xml:space="preserve">4700134228</t>
        </is>
      </c>
      <c r="B8" s="4" t="inlineStr">
        <is>
          <t xml:space="preserve">Без исходных данных</t>
        </is>
      </c>
      <c r="C8" s="4">
        <v>2026</v>
      </c>
      <c r="D8" s="4" t="inlineStr">
        <is>
          <t xml:space="preserve">USD</t>
        </is>
      </c>
      <c r="E8" s="4">
        <v>80</v>
      </c>
      <c r="F8" s="4" t="inlineStr">
        <is>
          <t xml:space="preserve">Источник: Вспомогательный персонал, FTE</t>
        </is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>
      <c r="A9" s="4" t="inlineStr">
        <is>
          <t xml:space="preserve">4700134228</t>
        </is>
      </c>
      <c r="B9" s="4" t="inlineStr">
        <is>
          <t xml:space="preserve">Без исходных данных</t>
        </is>
      </c>
      <c r="C9" s="4">
        <v>2026</v>
      </c>
      <c r="D9" s="4" t="inlineStr">
        <is>
          <t xml:space="preserve">USD</t>
        </is>
      </c>
      <c r="E9" s="4">
        <v>80</v>
      </c>
      <c r="F9" s="4" t="inlineStr">
        <is>
          <t xml:space="preserve">Источник: Косвенный персонал, FTE</t>
        </is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>
      <c r="A10" s="4" t="inlineStr">
        <is>
          <t xml:space="preserve">4700134228</t>
        </is>
      </c>
      <c r="B10" s="4" t="inlineStr">
        <is>
          <t xml:space="preserve">Без исходных данных</t>
        </is>
      </c>
      <c r="C10" s="4">
        <v>2026</v>
      </c>
      <c r="D10" s="4" t="inlineStr">
        <is>
          <t xml:space="preserve">USD</t>
        </is>
      </c>
      <c r="E10" s="4">
        <v>80</v>
      </c>
      <c r="F10" s="4" t="inlineStr">
        <is>
          <t xml:space="preserve">Источник: Трудоёмкость для бытовых расходов, чел.</t>
        </is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>
      <c r="A11" s="4" t="inlineStr">
        <is>
          <t xml:space="preserve">4700134228</t>
        </is>
      </c>
      <c r="B11" s="4" t="inlineStr">
        <is>
          <t xml:space="preserve">Без исходных данных</t>
        </is>
      </c>
      <c r="C11" s="4">
        <v>2026</v>
      </c>
      <c r="D11" s="4" t="inlineStr">
        <is>
          <t xml:space="preserve">USD</t>
        </is>
      </c>
      <c r="E11" s="4">
        <v>80</v>
      </c>
      <c r="F11" s="4" t="inlineStr">
        <is>
          <t xml:space="preserve">Источник: Дней по календарю исходной модели</t>
        </is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>
      <c r="A12" s="4" t="inlineStr">
        <is>
          <t xml:space="preserve">4700134228</t>
        </is>
      </c>
      <c r="B12" s="4" t="inlineStr">
        <is>
          <t xml:space="preserve">Без исходных данных</t>
        </is>
      </c>
      <c r="C12" s="4">
        <v>2026</v>
      </c>
      <c r="D12" s="4" t="inlineStr">
        <is>
          <t xml:space="preserve">USD</t>
        </is>
      </c>
      <c r="E12" s="4">
        <v>80</v>
      </c>
      <c r="F12" s="4" t="inlineStr">
        <is>
          <t xml:space="preserve">Источник: Пассивно неработающие, чел.</t>
        </is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>
      <c r="A13" s="4" t="inlineStr">
        <is>
          <t xml:space="preserve">4700134228</t>
        </is>
      </c>
      <c r="B13" s="4" t="inlineStr">
        <is>
          <t xml:space="preserve">Без исходных данных</t>
        </is>
      </c>
      <c r="C13" s="4">
        <v>2026</v>
      </c>
      <c r="D13" s="4" t="inlineStr">
        <is>
          <t xml:space="preserve">USD</t>
        </is>
      </c>
      <c r="E13" s="4">
        <v>80</v>
      </c>
      <c r="F13" s="4" t="inlineStr">
        <is>
          <t xml:space="preserve">Источник: Лесовики, чел.</t>
        </is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>
      <c r="A14" s="4" t="inlineStr">
        <is>
          <t xml:space="preserve">4700134228</t>
        </is>
      </c>
      <c r="B14" s="4" t="inlineStr">
        <is>
          <t xml:space="preserve">Без исходных данных</t>
        </is>
      </c>
      <c r="C14" s="4">
        <v>2026</v>
      </c>
      <c r="D14" s="4" t="inlineStr">
        <is>
          <t xml:space="preserve">USD</t>
        </is>
      </c>
      <c r="E14" s="4">
        <v>80</v>
      </c>
      <c r="F14" s="4" t="inlineStr">
        <is>
          <t xml:space="preserve">Источник: Техника, маш.-ч</t>
        </is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>
      <c r="A15" s="4" t="inlineStr">
        <is>
          <t xml:space="preserve">4700134228</t>
        </is>
      </c>
      <c r="B15" s="4" t="inlineStr">
        <is>
          <t xml:space="preserve">Без исходных данных</t>
        </is>
      </c>
      <c r="C15" s="4">
        <v>2026</v>
      </c>
      <c r="D15" s="4" t="inlineStr">
        <is>
          <t xml:space="preserve">USD</t>
        </is>
      </c>
      <c r="E15" s="4">
        <v>80</v>
      </c>
      <c r="F15" s="4" t="inlineStr">
        <is>
          <t xml:space="preserve">Источник: Объём НРК, ед.</t>
        </is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>
      <c r="A16" s="4" t="inlineStr">
        <is>
          <t xml:space="preserve">4700134228</t>
        </is>
      </c>
      <c r="B16" s="4" t="inlineStr">
        <is>
          <t xml:space="preserve">Без исходных данных</t>
        </is>
      </c>
      <c r="C16" s="4">
        <v>2026</v>
      </c>
      <c r="D16" s="4" t="inlineStr">
        <is>
          <t xml:space="preserve">USD</t>
        </is>
      </c>
      <c r="E16" s="4">
        <v>80</v>
      </c>
      <c r="F16" s="4" t="inlineStr">
        <is>
          <t xml:space="preserve">Источник: Оплата за работы с НДС</t>
        </is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>
      <c r="A17" s="4" t="inlineStr">
        <is>
          <t xml:space="preserve">4700134228</t>
        </is>
      </c>
      <c r="B17" s="4" t="inlineStr">
        <is>
          <t xml:space="preserve">Без исходных данных</t>
        </is>
      </c>
      <c r="C17" s="4">
        <v>2026</v>
      </c>
      <c r="D17" s="4" t="inlineStr">
        <is>
          <t xml:space="preserve">USD</t>
        </is>
      </c>
      <c r="E17" s="4">
        <v>80</v>
      </c>
      <c r="F17" s="4" t="inlineStr">
        <is>
          <t xml:space="preserve">Источник: Полученные авансы с НДС</t>
        </is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>
      <c r="A18" s="4" t="inlineStr">
        <is>
          <t xml:space="preserve">4700134228</t>
        </is>
      </c>
      <c r="B18" s="4" t="inlineStr">
        <is>
          <t xml:space="preserve">Без исходных данных</t>
        </is>
      </c>
      <c r="C18" s="4">
        <v>2026</v>
      </c>
      <c r="D18" s="4" t="inlineStr">
        <is>
          <t xml:space="preserve">USD</t>
        </is>
      </c>
      <c r="E18" s="4">
        <v>80</v>
      </c>
      <c r="F18" s="4" t="inlineStr">
        <is>
          <t xml:space="preserve">Источник: Зачёт авансов с НДС</t>
        </is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>
      <c r="A19" s="4" t="inlineStr">
        <is>
          <t xml:space="preserve">4700134228</t>
        </is>
      </c>
      <c r="B19" s="4" t="inlineStr">
        <is>
          <t xml:space="preserve">Без исходных данных</t>
        </is>
      </c>
      <c r="C19" s="4">
        <v>2026</v>
      </c>
      <c r="D19" s="4" t="inlineStr">
        <is>
          <t xml:space="preserve">USD</t>
        </is>
      </c>
      <c r="E19" s="4">
        <v>80</v>
      </c>
      <c r="F19" s="4" t="inlineStr">
        <is>
          <t xml:space="preserve">Источник: Поступления факторинга</t>
        </is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>
      <c r="A20" s="3" t="inlineStr">
        <is>
          <t xml:space="preserve">4700134228</t>
        </is>
      </c>
      <c r="B20" s="3" t="inlineStr">
        <is>
          <t xml:space="preserve">Без исходных данных</t>
        </is>
      </c>
      <c r="C20" s="3">
        <v>2026</v>
      </c>
      <c r="D20" s="3" t="inlineStr">
        <is>
          <t xml:space="preserve">USD</t>
        </is>
      </c>
      <c r="E20" s="3">
        <v>80</v>
      </c>
      <c r="F20" s="3" t="inlineStr">
        <is>
          <t xml:space="preserve">Доходы</t>
        </is>
      </c>
      <c r="G20" s="3">
        <v>6009188.245655865</v>
      </c>
      <c r="H20" s="3">
        <v>6326310.065261915</v>
      </c>
      <c r="I20" s="3">
        <v>7192962.040909068</v>
      </c>
      <c r="J20" s="3">
        <v>7719049.553621543</v>
      </c>
      <c r="K20" s="3">
        <v>5505821.553424569</v>
      </c>
      <c r="L20" s="3">
        <v>9987823.64153884</v>
      </c>
      <c r="M20" s="3">
        <v>6691447.283210083</v>
      </c>
      <c r="N20" s="3">
        <v>5821714.1066337265</v>
      </c>
      <c r="O20" s="3">
        <v>7166557.134399284</v>
      </c>
      <c r="P20" s="3">
        <v>10354368.854407901</v>
      </c>
      <c r="Q20" s="3">
        <v>15683364.331498714</v>
      </c>
      <c r="R20" s="3">
        <v>14091759.611429863</v>
      </c>
      <c r="S20" s="3">
        <f>SUM(G20:R20)</f>
        <v>102550366.42199138</v>
      </c>
    </row>
    <row r="21">
      <c r="A21" s="3" t="inlineStr">
        <is>
          <t xml:space="preserve">4700134228</t>
        </is>
      </c>
      <c r="B21" s="3" t="inlineStr">
        <is>
          <t xml:space="preserve">Без исходных данных</t>
        </is>
      </c>
      <c r="C21" s="3">
        <v>2026</v>
      </c>
      <c r="D21" s="3" t="inlineStr">
        <is>
          <t xml:space="preserve">USD</t>
        </is>
      </c>
      <c r="E21" s="3">
        <v>80</v>
      </c>
      <c r="F21" s="3" t="inlineStr">
        <is>
          <t xml:space="preserve">Прямые расходы</t>
        </is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f>SUM(G21:R21)</f>
        <v>0</v>
      </c>
    </row>
    <row r="22">
      <c r="A22" s="3" t="inlineStr">
        <is>
          <t xml:space="preserve">4700134228</t>
        </is>
      </c>
      <c r="B22" s="3" t="inlineStr">
        <is>
          <t xml:space="preserve">Без исходных данных</t>
        </is>
      </c>
      <c r="C22" s="3">
        <v>2026</v>
      </c>
      <c r="D22" s="3" t="inlineStr">
        <is>
          <t xml:space="preserve">USD</t>
        </is>
      </c>
      <c r="E22" s="3">
        <v>80</v>
      </c>
      <c r="F22" s="3" t="inlineStr">
        <is>
          <t xml:space="preserve">Косвенные расходы</t>
        </is>
      </c>
      <c r="G22" s="3">
        <v>27500</v>
      </c>
      <c r="H22" s="3">
        <v>27500</v>
      </c>
      <c r="I22" s="3">
        <v>27500</v>
      </c>
      <c r="J22" s="3">
        <v>27500</v>
      </c>
      <c r="K22" s="3">
        <v>27500</v>
      </c>
      <c r="L22" s="3">
        <v>27500</v>
      </c>
      <c r="M22" s="3">
        <v>27500</v>
      </c>
      <c r="N22" s="3">
        <v>27500</v>
      </c>
      <c r="O22" s="3">
        <v>27500</v>
      </c>
      <c r="P22" s="3">
        <v>27500</v>
      </c>
      <c r="Q22" s="3">
        <v>27500</v>
      </c>
      <c r="R22" s="3">
        <v>27500</v>
      </c>
      <c r="S22" s="3">
        <f>SUM(G22:R22)</f>
        <v>330000</v>
      </c>
    </row>
    <row r="23">
      <c r="A23" s="3" t="inlineStr">
        <is>
          <t xml:space="preserve">4700134228</t>
        </is>
      </c>
      <c r="B23" s="3" t="inlineStr">
        <is>
          <t xml:space="preserve">Без исходных данных</t>
        </is>
      </c>
      <c r="C23" s="3">
        <v>2026</v>
      </c>
      <c r="D23" s="3" t="inlineStr">
        <is>
          <t xml:space="preserve">USD</t>
        </is>
      </c>
      <c r="E23" s="3">
        <v>80</v>
      </c>
      <c r="F23" s="3" t="inlineStr">
        <is>
          <t xml:space="preserve">Расходы</t>
        </is>
      </c>
      <c r="G23" s="3">
        <f>G21+G22</f>
        <v>27500</v>
      </c>
      <c r="H23" s="3">
        <f>H21+H22</f>
        <v>27500</v>
      </c>
      <c r="I23" s="3">
        <f>I21+I22</f>
        <v>27500</v>
      </c>
      <c r="J23" s="3">
        <f>J21+J22</f>
        <v>27500</v>
      </c>
      <c r="K23" s="3">
        <f>K21+K22</f>
        <v>27500</v>
      </c>
      <c r="L23" s="3">
        <f>L21+L22</f>
        <v>27500</v>
      </c>
      <c r="M23" s="3">
        <f>M21+M22</f>
        <v>27500</v>
      </c>
      <c r="N23" s="3">
        <f>N21+N22</f>
        <v>27500</v>
      </c>
      <c r="O23" s="3">
        <f>O21+O22</f>
        <v>27500</v>
      </c>
      <c r="P23" s="3">
        <f>P21+P22</f>
        <v>27500</v>
      </c>
      <c r="Q23" s="3">
        <f>Q21+Q22</f>
        <v>27500</v>
      </c>
      <c r="R23" s="3">
        <f>R21+R22</f>
        <v>27500</v>
      </c>
      <c r="S23" s="3">
        <f>SUM(G23:R23)</f>
        <v>330000</v>
      </c>
    </row>
    <row r="24">
      <c r="A24" s="3" t="inlineStr">
        <is>
          <t xml:space="preserve">4700134228</t>
        </is>
      </c>
      <c r="B24" s="3" t="inlineStr">
        <is>
          <t xml:space="preserve">Без исходных данных</t>
        </is>
      </c>
      <c r="C24" s="3">
        <v>2026</v>
      </c>
      <c r="D24" s="3" t="inlineStr">
        <is>
          <t xml:space="preserve">USD</t>
        </is>
      </c>
      <c r="E24" s="3">
        <v>80</v>
      </c>
      <c r="F24" s="3" t="inlineStr">
        <is>
          <t xml:space="preserve">Финансовый результат</t>
        </is>
      </c>
      <c r="G24" s="3">
        <f>G20-G23</f>
        <v>5981688.245655865</v>
      </c>
      <c r="H24" s="3">
        <f>H20-H23</f>
        <v>6298810.065261915</v>
      </c>
      <c r="I24" s="3">
        <f>I20-I23</f>
        <v>7165462.040909068</v>
      </c>
      <c r="J24" s="3">
        <f>J20-J23</f>
        <v>7691549.553621543</v>
      </c>
      <c r="K24" s="3">
        <f>K20-K23</f>
        <v>5478321.553424569</v>
      </c>
      <c r="L24" s="3">
        <f>L20-L23</f>
        <v>9960323.64153884</v>
      </c>
      <c r="M24" s="3">
        <f>M20-M23</f>
        <v>6663947.283210083</v>
      </c>
      <c r="N24" s="3">
        <f>N20-N23</f>
        <v>5794214.1066337265</v>
      </c>
      <c r="O24" s="3">
        <f>O20-O23</f>
        <v>7139057.134399284</v>
      </c>
      <c r="P24" s="3">
        <f>P20-P23</f>
        <v>10326868.854407901</v>
      </c>
      <c r="Q24" s="3">
        <f>Q20-Q23</f>
        <v>15655864.331498714</v>
      </c>
      <c r="R24" s="3">
        <f>R20-R23</f>
        <v>14064259.611429863</v>
      </c>
      <c r="S24" s="3">
        <f>SUM(G24:R24)</f>
        <v>102220366.42199138</v>
      </c>
    </row>
    <row r="25">
      <c r="A25" s="3" t="inlineStr">
        <is>
          <t xml:space="preserve">4700134228</t>
        </is>
      </c>
      <c r="B25" s="3" t="inlineStr">
        <is>
          <t xml:space="preserve">Без исходных данных</t>
        </is>
      </c>
      <c r="C25" s="3">
        <v>2026</v>
      </c>
      <c r="D25" s="3" t="inlineStr">
        <is>
          <t xml:space="preserve">USD</t>
        </is>
      </c>
      <c r="E25" s="3">
        <v>80</v>
      </c>
      <c r="F25" s="3" t="inlineStr">
        <is>
          <t xml:space="preserve">Поступления</t>
        </is>
      </c>
      <c r="G25" s="3">
        <v>790308.360379701</v>
      </c>
      <c r="H25" s="3">
        <v>5225667.990077954</v>
      </c>
      <c r="I25" s="3">
        <v>5979867.989136245</v>
      </c>
      <c r="J25" s="3">
        <v>6750982.001177136</v>
      </c>
      <c r="K25" s="3">
        <v>7283118.76223278</v>
      </c>
      <c r="L25" s="3">
        <v>5440787.135772054</v>
      </c>
      <c r="M25" s="3">
        <v>9062642.26109104</v>
      </c>
      <c r="N25" s="3">
        <v>6670030.67309081</v>
      </c>
      <c r="O25" s="3">
        <v>5613253.053076794</v>
      </c>
      <c r="P25" s="3">
        <v>6680469.190041591</v>
      </c>
      <c r="Q25" s="3">
        <v>9533808.298286688</v>
      </c>
      <c r="R25" s="3">
        <v>14392941.544600151</v>
      </c>
      <c r="S25" s="3">
        <f>SUM(G25:R25)</f>
        <v>83423877.25896296</v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s="2">
        <v>2026</v>
      </c>
      <c r="D26" t="inlineStr">
        <is>
          <t xml:space="preserve">USD</t>
        </is>
      </c>
      <c r="E26" s="2">
        <v>80</v>
      </c>
      <c r="F26" t="inlineStr">
        <is>
          <t xml:space="preserve">Выплаты</t>
        </is>
      </c>
      <c r="G26" s="2">
        <v>27500</v>
      </c>
      <c r="H26" s="2">
        <v>27500</v>
      </c>
      <c r="I26" s="2">
        <v>27500</v>
      </c>
      <c r="J26" s="2">
        <v>27500</v>
      </c>
      <c r="K26" s="2">
        <v>27500</v>
      </c>
      <c r="L26" s="2">
        <v>27500</v>
      </c>
      <c r="M26" s="2">
        <v>27500</v>
      </c>
      <c r="N26" s="2">
        <v>27500</v>
      </c>
      <c r="O26" s="2">
        <v>27500</v>
      </c>
      <c r="P26" s="2">
        <v>27500</v>
      </c>
      <c r="Q26" s="2">
        <v>27500</v>
      </c>
      <c r="R26" s="2">
        <v>27500</v>
      </c>
      <c r="S26" s="2">
        <f>SUM(G26:R26)</f>
        <v>330000</v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s="2">
        <v>2026</v>
      </c>
      <c r="D27" t="inlineStr">
        <is>
          <t xml:space="preserve">USD</t>
        </is>
      </c>
      <c r="E27" s="2">
        <v>80</v>
      </c>
      <c r="F27" t="inlineStr">
        <is>
          <t xml:space="preserve">НДС к выплате</t>
        </is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>SUM(G27:R27)</f>
        <v>0</v>
      </c>
    </row>
    <row r="28">
      <c r="A28" s="3" t="inlineStr">
        <is>
          <t xml:space="preserve">4700134228</t>
        </is>
      </c>
      <c r="B28" s="3" t="inlineStr">
        <is>
          <t xml:space="preserve">Без исходных данных</t>
        </is>
      </c>
      <c r="C28" s="3">
        <v>2026</v>
      </c>
      <c r="D28" s="3" t="inlineStr">
        <is>
          <t xml:space="preserve">USD</t>
        </is>
      </c>
      <c r="E28" s="3">
        <v>80</v>
      </c>
      <c r="F28" s="3" t="inlineStr">
        <is>
          <t xml:space="preserve">CF за период</t>
        </is>
      </c>
      <c r="G28" s="3">
        <f>G25-G26-G27</f>
        <v>762808.360379701</v>
      </c>
      <c r="H28" s="3">
        <f>H25-H26-H27</f>
        <v>5198167.990077954</v>
      </c>
      <c r="I28" s="3">
        <f>I25-I26-I27</f>
        <v>5952367.989136245</v>
      </c>
      <c r="J28" s="3">
        <f>J25-J26-J27</f>
        <v>6723482.001177136</v>
      </c>
      <c r="K28" s="3">
        <f>K25-K26-K27</f>
        <v>7255618.76223278</v>
      </c>
      <c r="L28" s="3">
        <f>L25-L26-L27</f>
        <v>5413287.135772054</v>
      </c>
      <c r="M28" s="3">
        <f>M25-M26-M27</f>
        <v>9035142.26109104</v>
      </c>
      <c r="N28" s="3">
        <f>N25-N26-N27</f>
        <v>6642530.67309081</v>
      </c>
      <c r="O28" s="3">
        <f>O25-O26-O27</f>
        <v>5585753.053076794</v>
      </c>
      <c r="P28" s="3">
        <f>P25-P26-P27</f>
        <v>6652969.190041591</v>
      </c>
      <c r="Q28" s="3">
        <f>Q25-Q26-Q27</f>
        <v>9506308.298286688</v>
      </c>
      <c r="R28" s="3">
        <f>R25-R26-R27</f>
        <v>14365441.544600151</v>
      </c>
      <c r="S28" s="3">
        <f>SUM(G28:R28)</f>
        <v>83093877.25896296</v>
      </c>
    </row>
    <row r="29">
      <c r="A29" s="3" t="inlineStr">
        <is>
          <t xml:space="preserve">4700134228</t>
        </is>
      </c>
      <c r="B29" s="3" t="inlineStr">
        <is>
          <t xml:space="preserve">Без исходных данных</t>
        </is>
      </c>
      <c r="C29" s="3">
        <v>2026</v>
      </c>
      <c r="D29" s="3" t="inlineStr">
        <is>
          <t xml:space="preserve">USD</t>
        </is>
      </c>
      <c r="E29" s="3">
        <v>80</v>
      </c>
      <c r="F29" s="3" t="inlineStr">
        <is>
          <t xml:space="preserve">CF накопительно</t>
        </is>
      </c>
      <c r="G29" s="3">
        <f>G28+0</f>
        <v>762808.360379701</v>
      </c>
      <c r="H29" s="3">
        <f>G29+H28</f>
        <v>5960976.350457655</v>
      </c>
      <c r="I29" s="3">
        <f>H29+I28</f>
        <v>11913344.3395939</v>
      </c>
      <c r="J29" s="3">
        <f>I29+J28</f>
        <v>18636826.340771034</v>
      </c>
      <c r="K29" s="3">
        <f>J29+K28</f>
        <v>25892445.103003815</v>
      </c>
      <c r="L29" s="3">
        <f>K29+L28</f>
        <v>31305732.238775868</v>
      </c>
      <c r="M29" s="3">
        <f>L29+M28</f>
        <v>40340874.49986691</v>
      </c>
      <c r="N29" s="3">
        <f>M29+N28</f>
        <v>46983405.17295772</v>
      </c>
      <c r="O29" s="3">
        <f>N29+O28</f>
        <v>52569158.226034515</v>
      </c>
      <c r="P29" s="3">
        <f>O29+P28</f>
        <v>59222127.41607611</v>
      </c>
      <c r="Q29" s="3">
        <f>P29+Q28</f>
        <v>68728435.7143628</v>
      </c>
      <c r="R29" s="3">
        <f>Q29+R28</f>
        <v>83093877.25896296</v>
      </c>
      <c r="S29" s="3">
        <f>R29</f>
        <v>83093877.25896296</v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s="2">
        <v>2026</v>
      </c>
      <c r="D30" t="inlineStr">
        <is>
          <t xml:space="preserve">USD</t>
        </is>
      </c>
      <c r="E30" s="2">
        <v>80</v>
      </c>
      <c r="F30" t="inlineStr">
        <is>
          <t xml:space="preserve">Прямые: Заработная плата</t>
        </is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s="2">
        <v>2026</v>
      </c>
      <c r="D31" t="inlineStr">
        <is>
          <t xml:space="preserve">USD</t>
        </is>
      </c>
      <c r="E31" s="2">
        <v>80</v>
      </c>
      <c r="F31" t="inlineStr">
        <is>
          <t xml:space="preserve">Прямые: НДФЛ</t>
        </is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s="2">
        <v>2026</v>
      </c>
      <c r="D32" t="inlineStr">
        <is>
          <t xml:space="preserve">USD</t>
        </is>
      </c>
      <c r="E32" s="2">
        <v>80</v>
      </c>
      <c r="F32" t="inlineStr">
        <is>
          <t xml:space="preserve">Прямые: Страховые взносы</t>
        </is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s="2">
        <v>2026</v>
      </c>
      <c r="D33" t="inlineStr">
        <is>
          <t xml:space="preserve">USD</t>
        </is>
      </c>
      <c r="E33" s="2">
        <v>80</v>
      </c>
      <c r="F33" t="inlineStr">
        <is>
          <t xml:space="preserve">Прямые: Резерв на отпуска</t>
        </is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s="2">
        <v>2026</v>
      </c>
      <c r="D34" t="inlineStr">
        <is>
          <t xml:space="preserve">USD</t>
        </is>
      </c>
      <c r="E34" s="2">
        <v>80</v>
      </c>
      <c r="F34" t="inlineStr">
        <is>
          <t xml:space="preserve">Прямые: Субподряд</t>
        </is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s="2">
        <v>2026</v>
      </c>
      <c r="D35" t="inlineStr">
        <is>
          <t xml:space="preserve">USD</t>
        </is>
      </c>
      <c r="E35" s="2">
        <v>80</v>
      </c>
      <c r="F35" t="inlineStr">
        <is>
          <t xml:space="preserve">Прямые: Строительная техника</t>
        </is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s="2">
        <v>2026</v>
      </c>
      <c r="D36" t="inlineStr">
        <is>
          <t xml:space="preserve">USD</t>
        </is>
      </c>
      <c r="E36" s="2">
        <v>80</v>
      </c>
      <c r="F36" t="inlineStr">
        <is>
          <t xml:space="preserve">Прямые: Строительные леса</t>
        </is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s="2">
        <v>2026</v>
      </c>
      <c r="D37" t="inlineStr">
        <is>
          <t xml:space="preserve">USD</t>
        </is>
      </c>
      <c r="E37" s="2">
        <v>80</v>
      </c>
      <c r="F37" t="inlineStr">
        <is>
          <t xml:space="preserve">Прямые: Лесомонтаж</t>
        </is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s="2">
        <v>2026</v>
      </c>
      <c r="D38" t="inlineStr">
        <is>
          <t xml:space="preserve">USD</t>
        </is>
      </c>
      <c r="E38" s="2">
        <v>80</v>
      </c>
      <c r="F38" t="inlineStr">
        <is>
          <t xml:space="preserve">Прямые: Проектные материалы</t>
        </is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>
      <c r="A39" t="inlineStr">
        <is>
          <t xml:space="preserve">4700134228</t>
        </is>
      </c>
      <c r="B39" t="inlineStr">
        <is>
          <t xml:space="preserve">Без исходных данных</t>
        </is>
      </c>
      <c r="C39" s="2">
        <v>2026</v>
      </c>
      <c r="D39" t="inlineStr">
        <is>
          <t xml:space="preserve">USD</t>
        </is>
      </c>
      <c r="E39" s="2">
        <v>80</v>
      </c>
      <c r="F39" t="inlineStr">
        <is>
          <t xml:space="preserve">Прямые: Расходные материалы</t>
        </is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>
      <c r="A40" t="inlineStr">
        <is>
          <t xml:space="preserve">4700134228</t>
        </is>
      </c>
      <c r="B40" t="inlineStr">
        <is>
          <t xml:space="preserve">Без исходных данных</t>
        </is>
      </c>
      <c r="C40" s="2">
        <v>2026</v>
      </c>
      <c r="D40" t="inlineStr">
        <is>
          <t xml:space="preserve">USD</t>
        </is>
      </c>
      <c r="E40" s="2">
        <v>80</v>
      </c>
      <c r="F40" t="inlineStr">
        <is>
          <t xml:space="preserve">Прямые: НРК</t>
        </is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>
      <c r="A41" t="inlineStr">
        <is>
          <t xml:space="preserve">4700134228</t>
        </is>
      </c>
      <c r="B41" t="inlineStr">
        <is>
          <t xml:space="preserve">Без исходных данных</t>
        </is>
      </c>
      <c r="C41" s="2">
        <v>2026</v>
      </c>
      <c r="D41" t="inlineStr">
        <is>
          <t xml:space="preserve">USD</t>
        </is>
      </c>
      <c r="E41" s="2">
        <v>80</v>
      </c>
      <c r="F41" t="inlineStr">
        <is>
          <t xml:space="preserve">Прямые: Прочие прямые</t>
        </is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>
      <c r="A42" t="inlineStr">
        <is>
          <t xml:space="preserve">4700134228</t>
        </is>
      </c>
      <c r="B42" t="inlineStr">
        <is>
          <t xml:space="preserve">Без исходных данных</t>
        </is>
      </c>
      <c r="C42" s="2">
        <v>2026</v>
      </c>
      <c r="D42" t="inlineStr">
        <is>
          <t xml:space="preserve">USD</t>
        </is>
      </c>
      <c r="E42" s="2">
        <v>80</v>
      </c>
      <c r="F42" t="inlineStr">
        <is>
          <t xml:space="preserve">Косвенные: Заработная плата</t>
        </is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>
      <c r="A43" t="inlineStr">
        <is>
          <t xml:space="preserve">4700134228</t>
        </is>
      </c>
      <c r="B43" t="inlineStr">
        <is>
          <t xml:space="preserve">Без исходных данных</t>
        </is>
      </c>
      <c r="C43" s="2">
        <v>2026</v>
      </c>
      <c r="D43" t="inlineStr">
        <is>
          <t xml:space="preserve">USD</t>
        </is>
      </c>
      <c r="E43" s="2">
        <v>80</v>
      </c>
      <c r="F43" t="inlineStr">
        <is>
          <t xml:space="preserve">Косвенные: НДФЛ</t>
        </is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>
      <c r="A44" t="inlineStr">
        <is>
          <t xml:space="preserve">4700134228</t>
        </is>
      </c>
      <c r="B44" t="inlineStr">
        <is>
          <t xml:space="preserve">Без исходных данных</t>
        </is>
      </c>
      <c r="C44" s="2">
        <v>2026</v>
      </c>
      <c r="D44" t="inlineStr">
        <is>
          <t xml:space="preserve">USD</t>
        </is>
      </c>
      <c r="E44" s="2">
        <v>80</v>
      </c>
      <c r="F44" t="inlineStr">
        <is>
          <t xml:space="preserve">Косвенные: Страховые взносы</t>
        </is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>
      <c r="A45" t="inlineStr">
        <is>
          <t xml:space="preserve">4700134228</t>
        </is>
      </c>
      <c r="B45" t="inlineStr">
        <is>
          <t xml:space="preserve">Без исходных данных</t>
        </is>
      </c>
      <c r="C45" s="2">
        <v>2026</v>
      </c>
      <c r="D45" t="inlineStr">
        <is>
          <t xml:space="preserve">USD</t>
        </is>
      </c>
      <c r="E45" s="2">
        <v>80</v>
      </c>
      <c r="F45" t="inlineStr">
        <is>
          <t xml:space="preserve">Косвенные: Резерв на отпуска</t>
        </is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>
      <c r="A46" t="inlineStr">
        <is>
          <t xml:space="preserve">4700134228</t>
        </is>
      </c>
      <c r="B46" t="inlineStr">
        <is>
          <t xml:space="preserve">Без исходных данных</t>
        </is>
      </c>
      <c r="C46" s="2">
        <v>2026</v>
      </c>
      <c r="D46" t="inlineStr">
        <is>
          <t xml:space="preserve">USD</t>
        </is>
      </c>
      <c r="E46" s="2">
        <v>80</v>
      </c>
      <c r="F46" t="inlineStr">
        <is>
          <t xml:space="preserve">Косвенные: Питание</t>
        </is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>
      <c r="A47" t="inlineStr">
        <is>
          <t xml:space="preserve">4700134228</t>
        </is>
      </c>
      <c r="B47" t="inlineStr">
        <is>
          <t xml:space="preserve">Без исходных данных</t>
        </is>
      </c>
      <c r="C47" s="2">
        <v>2026</v>
      </c>
      <c r="D47" t="inlineStr">
        <is>
          <t xml:space="preserve">USD</t>
        </is>
      </c>
      <c r="E47" s="2">
        <v>80</v>
      </c>
      <c r="F47" t="inlineStr">
        <is>
          <t xml:space="preserve">Косвенные: Проживание</t>
        </is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>
      <c r="A48" t="inlineStr">
        <is>
          <t xml:space="preserve">4700134228</t>
        </is>
      </c>
      <c r="B48" t="inlineStr">
        <is>
          <t xml:space="preserve">Без исходных данных</t>
        </is>
      </c>
      <c r="C48" s="2">
        <v>2026</v>
      </c>
      <c r="D48" t="inlineStr">
        <is>
          <t xml:space="preserve">USD</t>
        </is>
      </c>
      <c r="E48" s="2">
        <v>80</v>
      </c>
      <c r="F48" t="inlineStr">
        <is>
          <t xml:space="preserve">Косвенные: Аренда автобусов</t>
        </is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>
      <c r="A49" t="inlineStr">
        <is>
          <t xml:space="preserve">4700134228</t>
        </is>
      </c>
      <c r="B49" t="inlineStr">
        <is>
          <t xml:space="preserve">Без исходных данных</t>
        </is>
      </c>
      <c r="C49" s="2">
        <v>2026</v>
      </c>
      <c r="D49" t="inlineStr">
        <is>
          <t xml:space="preserve">USD</t>
        </is>
      </c>
      <c r="E49" s="2">
        <v>80</v>
      </c>
      <c r="F49" t="inlineStr">
        <is>
          <t xml:space="preserve">Косвенные: Аренда автомобиля</t>
        </is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>
      <c r="A50" t="inlineStr">
        <is>
          <t xml:space="preserve">4700134228</t>
        </is>
      </c>
      <c r="B50" t="inlineStr">
        <is>
          <t xml:space="preserve">Без исходных данных</t>
        </is>
      </c>
      <c r="C50" s="2">
        <v>2026</v>
      </c>
      <c r="D50" t="inlineStr">
        <is>
          <t xml:space="preserve">USD</t>
        </is>
      </c>
      <c r="E50" s="2">
        <v>80</v>
      </c>
      <c r="F50" t="inlineStr">
        <is>
          <t xml:space="preserve">Косвенные: Аренда опалубки</t>
        </is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>
      <c r="A51" t="inlineStr">
        <is>
          <t xml:space="preserve">4700134228</t>
        </is>
      </c>
      <c r="B51" t="inlineStr">
        <is>
          <t xml:space="preserve">Без исходных данных</t>
        </is>
      </c>
      <c r="C51" s="2">
        <v>2026</v>
      </c>
      <c r="D51" t="inlineStr">
        <is>
          <t xml:space="preserve">USD</t>
        </is>
      </c>
      <c r="E51" s="2">
        <v>80</v>
      </c>
      <c r="F51" t="inlineStr">
        <is>
          <t xml:space="preserve">Косвенные: СИЗы</t>
        </is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>
      <c r="A52" t="inlineStr">
        <is>
          <t xml:space="preserve">4700134228</t>
        </is>
      </c>
      <c r="B52" t="inlineStr">
        <is>
          <t xml:space="preserve">Без исходных данных</t>
        </is>
      </c>
      <c r="C52" s="2">
        <v>2026</v>
      </c>
      <c r="D52" t="inlineStr">
        <is>
          <t xml:space="preserve">USD</t>
        </is>
      </c>
      <c r="E52" s="2">
        <v>80</v>
      </c>
      <c r="F52" t="inlineStr">
        <is>
          <t xml:space="preserve">Косвенные: Приобретение билетов</t>
        </is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>
      <c r="A53" t="inlineStr">
        <is>
          <t xml:space="preserve">4700134228</t>
        </is>
      </c>
      <c r="B53" t="inlineStr">
        <is>
          <t xml:space="preserve">Без исходных данных</t>
        </is>
      </c>
      <c r="C53" s="2">
        <v>2026</v>
      </c>
      <c r="D53" t="inlineStr">
        <is>
          <t xml:space="preserve">USD</t>
        </is>
      </c>
      <c r="E53" s="2">
        <v>80</v>
      </c>
      <c r="F53" t="inlineStr">
        <is>
          <t xml:space="preserve">Косвенные: Разрешение на работу</t>
        </is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>
      <c r="A54" t="inlineStr">
        <is>
          <t xml:space="preserve">4700134228</t>
        </is>
      </c>
      <c r="B54" t="inlineStr">
        <is>
          <t xml:space="preserve">Без исходных данных</t>
        </is>
      </c>
      <c r="C54" s="2">
        <v>2026</v>
      </c>
      <c r="D54" t="inlineStr">
        <is>
          <t xml:space="preserve">USD</t>
        </is>
      </c>
      <c r="E54" s="2">
        <v>80</v>
      </c>
      <c r="F54" t="inlineStr">
        <is>
          <t xml:space="preserve">Косвенные: Медицинские услуги</t>
        </is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>
      <c r="A55" t="inlineStr">
        <is>
          <t xml:space="preserve">4700134228</t>
        </is>
      </c>
      <c r="B55" t="inlineStr">
        <is>
          <t xml:space="preserve">Без исходных данных</t>
        </is>
      </c>
      <c r="C55" s="2">
        <v>2026</v>
      </c>
      <c r="D55" t="inlineStr">
        <is>
          <t xml:space="preserve">USD</t>
        </is>
      </c>
      <c r="E55" s="2">
        <v>80</v>
      </c>
      <c r="F55" t="inlineStr">
        <is>
          <t xml:space="preserve">Косвенные: ВЗиС для ОР</t>
        </is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>
      <c r="A56" t="inlineStr">
        <is>
          <t xml:space="preserve">4700134228</t>
        </is>
      </c>
      <c r="B56" t="inlineStr">
        <is>
          <t xml:space="preserve">Без исходных данных</t>
        </is>
      </c>
      <c r="C56" s="2">
        <v>2026</v>
      </c>
      <c r="D56" t="inlineStr">
        <is>
          <t xml:space="preserve">USD</t>
        </is>
      </c>
      <c r="E56" s="2">
        <v>80</v>
      </c>
      <c r="F56" t="inlineStr">
        <is>
          <t xml:space="preserve">Косвенные: Аренда офиса</t>
        </is>
      </c>
      <c r="G56" s="2">
        <v>7500</v>
      </c>
      <c r="H56" s="2">
        <v>7500</v>
      </c>
      <c r="I56" s="2">
        <v>7500</v>
      </c>
      <c r="J56" s="2">
        <v>7500</v>
      </c>
      <c r="K56" s="2">
        <v>7500</v>
      </c>
      <c r="L56" s="2">
        <v>7500</v>
      </c>
      <c r="M56" s="2">
        <v>7500</v>
      </c>
      <c r="N56" s="2">
        <v>7500</v>
      </c>
      <c r="O56" s="2">
        <v>7500</v>
      </c>
      <c r="P56" s="2">
        <v>7500</v>
      </c>
      <c r="Q56" s="2">
        <v>7500</v>
      </c>
      <c r="R56" s="2">
        <v>7500</v>
      </c>
      <c r="S56" s="2">
        <v>90000</v>
      </c>
    </row>
    <row r="57">
      <c r="A57" t="inlineStr">
        <is>
          <t xml:space="preserve">4700134228</t>
        </is>
      </c>
      <c r="B57" t="inlineStr">
        <is>
          <t xml:space="preserve">Без исходных данных</t>
        </is>
      </c>
      <c r="C57" s="2">
        <v>2026</v>
      </c>
      <c r="D57" t="inlineStr">
        <is>
          <t xml:space="preserve">USD</t>
        </is>
      </c>
      <c r="E57" s="2">
        <v>80</v>
      </c>
      <c r="F57" t="inlineStr">
        <is>
          <t xml:space="preserve">Косвенные: Аренда склада</t>
        </is>
      </c>
      <c r="G57" s="2">
        <v>20000</v>
      </c>
      <c r="H57" s="2">
        <v>20000</v>
      </c>
      <c r="I57" s="2">
        <v>20000</v>
      </c>
      <c r="J57" s="2">
        <v>20000</v>
      </c>
      <c r="K57" s="2">
        <v>20000</v>
      </c>
      <c r="L57" s="2">
        <v>20000</v>
      </c>
      <c r="M57" s="2">
        <v>20000</v>
      </c>
      <c r="N57" s="2">
        <v>20000</v>
      </c>
      <c r="O57" s="2">
        <v>20000</v>
      </c>
      <c r="P57" s="2">
        <v>20000</v>
      </c>
      <c r="Q57" s="2">
        <v>20000</v>
      </c>
      <c r="R57" s="2">
        <v>20000</v>
      </c>
      <c r="S57" s="2">
        <v>240000</v>
      </c>
    </row>
    <row r="58">
      <c r="A58" t="inlineStr">
        <is>
          <t xml:space="preserve">4700134228</t>
        </is>
      </c>
      <c r="B58" t="inlineStr">
        <is>
          <t xml:space="preserve">Без исходных данных</t>
        </is>
      </c>
      <c r="C58" s="2">
        <v>2026</v>
      </c>
      <c r="D58" t="inlineStr">
        <is>
          <t xml:space="preserve">USD</t>
        </is>
      </c>
      <c r="E58" s="2">
        <v>80</v>
      </c>
      <c r="F58" t="inlineStr">
        <is>
          <t xml:space="preserve">Косвенные: Интернет</t>
        </is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>
      <c r="A59" t="inlineStr">
        <is>
          <t xml:space="preserve">4700134228</t>
        </is>
      </c>
      <c r="B59" t="inlineStr">
        <is>
          <t xml:space="preserve">Без исходных данных</t>
        </is>
      </c>
      <c r="C59" s="2">
        <v>2026</v>
      </c>
      <c r="D59" t="inlineStr">
        <is>
          <t xml:space="preserve">USD</t>
        </is>
      </c>
      <c r="E59" s="2">
        <v>80</v>
      </c>
      <c r="F59" t="inlineStr">
        <is>
          <t xml:space="preserve">Косвенные: Обращение с ТБО и ЖБО</t>
        </is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>
      <c r="A60" t="inlineStr">
        <is>
          <t xml:space="preserve">4700134228</t>
        </is>
      </c>
      <c r="B60" t="inlineStr">
        <is>
          <t xml:space="preserve">Без исходных данных</t>
        </is>
      </c>
      <c r="C60" s="2">
        <v>2026</v>
      </c>
      <c r="D60" t="inlineStr">
        <is>
          <t xml:space="preserve">USD</t>
        </is>
      </c>
      <c r="E60" s="2">
        <v>80</v>
      </c>
      <c r="F60" t="inlineStr">
        <is>
          <t xml:space="preserve">Косвенные: Охрана труда</t>
        </is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>
      <c r="A61" t="inlineStr">
        <is>
          <t xml:space="preserve">4700134228</t>
        </is>
      </c>
      <c r="B61" t="inlineStr">
        <is>
          <t xml:space="preserve">Без исходных данных</t>
        </is>
      </c>
      <c r="C61" s="2">
        <v>2026</v>
      </c>
      <c r="D61" t="inlineStr">
        <is>
          <t xml:space="preserve">USD</t>
        </is>
      </c>
      <c r="E61" s="2">
        <v>80</v>
      </c>
      <c r="F61" t="inlineStr">
        <is>
          <t xml:space="preserve">Косвенные: Страхование от НС</t>
        </is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>
      <c r="A62" t="inlineStr">
        <is>
          <t xml:space="preserve">4700134228</t>
        </is>
      </c>
      <c r="B62" t="inlineStr">
        <is>
          <t xml:space="preserve">Без исходных данных</t>
        </is>
      </c>
      <c r="C62" s="2">
        <v>2026</v>
      </c>
      <c r="D62" t="inlineStr">
        <is>
          <t xml:space="preserve">USD</t>
        </is>
      </c>
      <c r="E62" s="2">
        <v>80</v>
      </c>
      <c r="F62" t="inlineStr">
        <is>
          <t xml:space="preserve">Косвенные: IT-материалы</t>
        </is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>
      <c r="A63" t="inlineStr">
        <is>
          <t xml:space="preserve">4700134228</t>
        </is>
      </c>
      <c r="B63" t="inlineStr">
        <is>
          <t xml:space="preserve">Без исходных данных</t>
        </is>
      </c>
      <c r="C63" s="2">
        <v>2026</v>
      </c>
      <c r="D63" t="inlineStr">
        <is>
          <t xml:space="preserve">USD</t>
        </is>
      </c>
      <c r="E63" s="2">
        <v>80</v>
      </c>
      <c r="F63" t="inlineStr">
        <is>
          <t xml:space="preserve">Косвенные: Приобретение контейнеров</t>
        </is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>
      <c r="A64" t="inlineStr">
        <is>
          <t xml:space="preserve">4700134228</t>
        </is>
      </c>
      <c r="B64" t="inlineStr">
        <is>
          <t xml:space="preserve">Без исходных данных</t>
        </is>
      </c>
      <c r="C64" s="2">
        <v>2026</v>
      </c>
      <c r="D64" t="inlineStr">
        <is>
          <t xml:space="preserve">USD</t>
        </is>
      </c>
      <c r="E64" s="2">
        <v>80</v>
      </c>
      <c r="F64" t="inlineStr">
        <is>
          <t xml:space="preserve">Косвенные: Приобретение модульного офиса</t>
        </is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>
      <c r="A65" t="inlineStr">
        <is>
          <t xml:space="preserve">4700134228</t>
        </is>
      </c>
      <c r="B65" t="inlineStr">
        <is>
          <t xml:space="preserve">Без исходных данных</t>
        </is>
      </c>
      <c r="C65" s="2">
        <v>2026</v>
      </c>
      <c r="D65" t="inlineStr">
        <is>
          <t xml:space="preserve">USD</t>
        </is>
      </c>
      <c r="E65" s="2">
        <v>80</v>
      </c>
      <c r="F65" t="inlineStr">
        <is>
          <t xml:space="preserve">Косвенные: Транспортные услуги</t>
        </is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>
      <c r="A66" t="inlineStr">
        <is>
          <t xml:space="preserve">4700134228</t>
        </is>
      </c>
      <c r="B66" t="inlineStr">
        <is>
          <t xml:space="preserve">Без исходных данных</t>
        </is>
      </c>
      <c r="C66" s="2">
        <v>2026</v>
      </c>
      <c r="D66" t="inlineStr">
        <is>
          <t xml:space="preserve">USD</t>
        </is>
      </c>
      <c r="E66" s="2">
        <v>80</v>
      </c>
      <c r="F66" t="inlineStr">
        <is>
          <t xml:space="preserve">Косвенные: Прочие косвенные расходы</t>
        </is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cols>
    <col min="1" max="2" width="5" customWidth="1"/>
    <col min="3" max="3" width="43" customWidth="1"/>
    <col min="4" max="8" width="5" customWidth="1"/>
    <col min="9" max="24" width="18" customWidth="1"/>
  </cols>
  <sheetData>
    <row r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>Детальная модель договоров подрядчика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>Денежные показатели в миллионах валюты договора; натуральные — в единицах</t>
        </is>
      </c>
    </row>
    <row r="3"/>
    <row r="4">
      <c r="A4" s="1" t="inlineStr">
        <is>
          <t xml:space="preserve"/>
        </is>
      </c>
      <c r="B4" s="1" t="inlineStr">
        <is>
          <t xml:space="preserve"/>
        </is>
      </c>
      <c r="C4" s="1" t="inlineStr">
        <is>
          <t xml:space="preserve">Договор 4700134228 · Без исходных данных · 2026 · USD</t>
        </is>
      </c>
    </row>
    <row r="5">
      <c r="A5" s="1" t="inlineStr">
        <is>
          <t xml:space="preserve"/>
        </is>
      </c>
      <c r="B5" s="1" t="inlineStr">
        <is>
          <t xml:space="preserve"/>
        </is>
      </c>
      <c r="C5" s="1" t="inlineStr">
        <is>
          <t xml:space="preserve">Статья</t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  <c r="H5" s="1" t="inlineStr">
        <is>
          <t xml:space="preserve"/>
        </is>
      </c>
      <c r="I5" s="1" t="inlineStr">
        <is>
          <t xml:space="preserve">ИТОГО</t>
        </is>
      </c>
      <c r="J5" s="1" t="inlineStr">
        <is>
          <t xml:space="preserve">ФАКТ</t>
        </is>
      </c>
      <c r="K5" s="1" t="inlineStr">
        <is>
          <t xml:space="preserve">ПРОГНОЗ</t>
        </is>
      </c>
      <c r="L5" s="1" t="inlineStr">
        <is>
          <t xml:space="preserve"/>
        </is>
      </c>
      <c r="M5" s="1" t="inlineStr">
        <is>
          <t xml:space="preserve">Янв 2026</t>
        </is>
      </c>
      <c r="N5" s="1" t="inlineStr">
        <is>
          <t xml:space="preserve">Фев 2026</t>
        </is>
      </c>
      <c r="O5" s="1" t="inlineStr">
        <is>
          <t xml:space="preserve">Мар 2026</t>
        </is>
      </c>
      <c r="P5" s="1" t="inlineStr">
        <is>
          <t xml:space="preserve">Апр 2026</t>
        </is>
      </c>
      <c r="Q5" s="1" t="inlineStr">
        <is>
          <t xml:space="preserve">Май 2026</t>
        </is>
      </c>
      <c r="R5" s="1" t="inlineStr">
        <is>
          <t xml:space="preserve">Июн 2026</t>
        </is>
      </c>
      <c r="S5" s="1" t="inlineStr">
        <is>
          <t xml:space="preserve">Июл 2026</t>
        </is>
      </c>
      <c r="T5" s="1" t="inlineStr">
        <is>
          <t xml:space="preserve">Авг 2026</t>
        </is>
      </c>
      <c r="U5" s="1" t="inlineStr">
        <is>
          <t xml:space="preserve">Сен 2026</t>
        </is>
      </c>
      <c r="V5" s="1" t="inlineStr">
        <is>
          <t xml:space="preserve">Окт 2026</t>
        </is>
      </c>
      <c r="W5" s="1" t="inlineStr">
        <is>
          <t xml:space="preserve">Ноя 2026</t>
        </is>
      </c>
      <c r="X5" s="1" t="inlineStr">
        <is>
          <t xml:space="preserve">Дек 2026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>Физический объём, ед.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s="2">
        <f>SUM(M6:X6)</f>
        <v>201119.7</v>
      </c>
      <c r="J6" t="inlineStr">
        <is>
          <t xml:space="preserve"/>
        </is>
      </c>
      <c r="K6" s="2">
        <f>I6</f>
        <v>201119.7</v>
      </c>
      <c r="L6" t="inlineStr">
        <is>
          <t xml:space="preserve"/>
        </is>
      </c>
      <c r="M6" s="2">
        <v>8880.160000000002</v>
      </c>
      <c r="N6" s="2">
        <v>7032.24</v>
      </c>
      <c r="O6" s="2">
        <v>10582.28</v>
      </c>
      <c r="P6" s="2">
        <v>9278.360000000002</v>
      </c>
      <c r="Q6" s="2">
        <v>4727.799999999999</v>
      </c>
      <c r="R6" s="2">
        <v>6371.719999999999</v>
      </c>
      <c r="S6" s="2">
        <v>2176.54</v>
      </c>
      <c r="T6" s="2">
        <v>7165.499999999999</v>
      </c>
      <c r="U6" s="2">
        <v>6542.160000000001</v>
      </c>
      <c r="V6" s="2">
        <v>19045.679999999997</v>
      </c>
      <c r="W6" s="2">
        <v>59445.10000000001</v>
      </c>
      <c r="X6" s="2">
        <v>59872.15999999999</v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>Основной персонал, FTE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s="2">
        <f>SUM(M7:X7)</f>
        <v>0</v>
      </c>
      <c r="J7" t="inlineStr">
        <is>
          <t xml:space="preserve"/>
        </is>
      </c>
      <c r="K7" s="2">
        <f>I7</f>
        <v>0</v>
      </c>
      <c r="L7" t="inlineStr">
        <is>
          <t xml:space="preserve"/>
        </is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Косвенный персонал, FTE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s="2">
        <f>SUM(M8:X8)</f>
        <v>0</v>
      </c>
      <c r="J8" t="inlineStr">
        <is>
          <t xml:space="preserve"/>
        </is>
      </c>
      <c r="K8" s="2">
        <f>I8</f>
        <v>0</v>
      </c>
      <c r="L8" t="inlineStr">
        <is>
          <t xml:space="preserve"/>
        </is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Техника, маш.-ч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s="2">
        <f>SUM(M9:X9)</f>
        <v>0</v>
      </c>
      <c r="J9" t="inlineStr">
        <is>
          <t xml:space="preserve"/>
        </is>
      </c>
      <c r="K9" s="2">
        <f>I9</f>
        <v>0</v>
      </c>
      <c r="L9" t="inlineStr">
        <is>
          <t xml:space="preserve"/>
        </is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>
      <c r="A10" s="3" t="inlineStr">
        <is>
          <t xml:space="preserve"/>
        </is>
      </c>
      <c r="B10" s="3" t="inlineStr">
        <is>
          <t xml:space="preserve"/>
        </is>
      </c>
      <c r="C10" s="3" t="inlineStr">
        <is>
          <t xml:space="preserve">Выручка</t>
        </is>
      </c>
      <c r="D10" s="3" t="inlineStr">
        <is>
          <t xml:space="preserve"/>
        </is>
      </c>
      <c r="E10" s="3" t="inlineStr">
        <is>
          <t xml:space="preserve"/>
        </is>
      </c>
      <c r="F10" s="3" t="inlineStr">
        <is>
          <t xml:space="preserve"/>
        </is>
      </c>
      <c r="G10" s="3" t="inlineStr">
        <is>
          <t xml:space="preserve"/>
        </is>
      </c>
      <c r="H10" s="3" t="inlineStr">
        <is>
          <t xml:space="preserve"/>
        </is>
      </c>
      <c r="I10" s="3">
        <f>SUM(M10:X10)</f>
        <v>102.55036642199138</v>
      </c>
      <c r="J10" s="3" t="inlineStr">
        <is>
          <t xml:space="preserve"/>
        </is>
      </c>
      <c r="K10" s="3">
        <f>I10</f>
        <v>102.55036642199138</v>
      </c>
      <c r="L10" s="3" t="inlineStr">
        <is>
          <t xml:space="preserve"/>
        </is>
      </c>
      <c r="M10" s="3">
        <v>6.009188245655865</v>
      </c>
      <c r="N10" s="3">
        <v>6.326310065261915</v>
      </c>
      <c r="O10" s="3">
        <v>7.192962040909068</v>
      </c>
      <c r="P10" s="3">
        <v>7.719049553621542</v>
      </c>
      <c r="Q10" s="3">
        <v>5.5058215534245685</v>
      </c>
      <c r="R10" s="3">
        <v>9.98782364153884</v>
      </c>
      <c r="S10" s="3">
        <v>6.691447283210083</v>
      </c>
      <c r="T10" s="3">
        <v>5.821714106633727</v>
      </c>
      <c r="U10" s="3">
        <v>7.166557134399284</v>
      </c>
      <c r="V10" s="3">
        <v>10.354368854407902</v>
      </c>
      <c r="W10" s="3">
        <v>15.683364331498714</v>
      </c>
      <c r="X10" s="3">
        <v>14.091759611429863</v>
      </c>
    </row>
    <row r="11">
      <c r="A11" s="3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>Прямые расходы</t>
        </is>
      </c>
      <c r="D11" s="3" t="inlineStr">
        <is>
          <t xml:space="preserve"/>
        </is>
      </c>
      <c r="E11" s="3" t="inlineStr">
        <is>
          <t xml:space="preserve"/>
        </is>
      </c>
      <c r="F11" s="3" t="inlineStr">
        <is>
          <t xml:space="preserve"/>
        </is>
      </c>
      <c r="G11" s="3" t="inlineStr">
        <is>
          <t xml:space="preserve"/>
        </is>
      </c>
      <c r="H11" s="3" t="inlineStr">
        <is>
          <t xml:space="preserve"/>
        </is>
      </c>
      <c r="I11" s="3">
        <f>SUM(M11:X11)</f>
        <v>0</v>
      </c>
      <c r="J11" s="3" t="inlineStr">
        <is>
          <t xml:space="preserve"/>
        </is>
      </c>
      <c r="K11" s="3">
        <f>I11</f>
        <v>0</v>
      </c>
      <c r="L11" s="3" t="inlineStr">
        <is>
          <t xml:space="preserve"/>
        </is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>
      <c r="A12" s="3" t="inlineStr">
        <is>
          <t xml:space="preserve"/>
        </is>
      </c>
      <c r="B12" s="3" t="inlineStr">
        <is>
          <t xml:space="preserve"/>
        </is>
      </c>
      <c r="C12" s="3" t="inlineStr">
        <is>
          <t xml:space="preserve">Косвенные расходы</t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  <c r="G12" s="3" t="inlineStr">
        <is>
          <t xml:space="preserve"/>
        </is>
      </c>
      <c r="H12" s="3" t="inlineStr">
        <is>
          <t xml:space="preserve"/>
        </is>
      </c>
      <c r="I12" s="3">
        <f>SUM(M12:X12)</f>
        <v>0.33</v>
      </c>
      <c r="J12" s="3" t="inlineStr">
        <is>
          <t xml:space="preserve"/>
        </is>
      </c>
      <c r="K12" s="3">
        <f>I12</f>
        <v>0.33</v>
      </c>
      <c r="L12" s="3" t="inlineStr">
        <is>
          <t xml:space="preserve"/>
        </is>
      </c>
      <c r="M12" s="3">
        <v>0.0275</v>
      </c>
      <c r="N12" s="3">
        <v>0.0275</v>
      </c>
      <c r="O12" s="3">
        <v>0.0275</v>
      </c>
      <c r="P12" s="3">
        <v>0.0275</v>
      </c>
      <c r="Q12" s="3">
        <v>0.0275</v>
      </c>
      <c r="R12" s="3">
        <v>0.0275</v>
      </c>
      <c r="S12" s="3">
        <v>0.0275</v>
      </c>
      <c r="T12" s="3">
        <v>0.0275</v>
      </c>
      <c r="U12" s="3">
        <v>0.0275</v>
      </c>
      <c r="V12" s="3">
        <v>0.0275</v>
      </c>
      <c r="W12" s="3">
        <v>0.0275</v>
      </c>
      <c r="X12" s="3">
        <v>0.0275</v>
      </c>
    </row>
    <row r="13">
      <c r="A13" s="3" t="inlineStr">
        <is>
          <t xml:space="preserve"/>
        </is>
      </c>
      <c r="B13" s="3" t="inlineStr">
        <is>
          <t xml:space="preserve"/>
        </is>
      </c>
      <c r="C13" s="3" t="inlineStr">
        <is>
          <t xml:space="preserve">Расходы</t>
        </is>
      </c>
      <c r="D13" s="3" t="inlineStr">
        <is>
          <t xml:space="preserve"/>
        </is>
      </c>
      <c r="E13" s="3" t="inlineStr">
        <is>
          <t xml:space="preserve"/>
        </is>
      </c>
      <c r="F13" s="3" t="inlineStr">
        <is>
          <t xml:space="preserve"/>
        </is>
      </c>
      <c r="G13" s="3" t="inlineStr">
        <is>
          <t xml:space="preserve"/>
        </is>
      </c>
      <c r="H13" s="3" t="inlineStr">
        <is>
          <t xml:space="preserve"/>
        </is>
      </c>
      <c r="I13" s="3">
        <f>SUM(M13:X13)</f>
        <v>0.33</v>
      </c>
      <c r="J13" s="3" t="inlineStr">
        <is>
          <t xml:space="preserve"/>
        </is>
      </c>
      <c r="K13" s="3">
        <f>I13</f>
        <v>0.33</v>
      </c>
      <c r="L13" s="3" t="inlineStr">
        <is>
          <t xml:space="preserve"/>
        </is>
      </c>
      <c r="M13" s="3">
        <f>M11+M12</f>
        <v>0.0275</v>
      </c>
      <c r="N13" s="3">
        <f>N11+N12</f>
        <v>0.0275</v>
      </c>
      <c r="O13" s="3">
        <f>O11+O12</f>
        <v>0.0275</v>
      </c>
      <c r="P13" s="3">
        <f>P11+P12</f>
        <v>0.0275</v>
      </c>
      <c r="Q13" s="3">
        <f>Q11+Q12</f>
        <v>0.0275</v>
      </c>
      <c r="R13" s="3">
        <f>R11+R12</f>
        <v>0.0275</v>
      </c>
      <c r="S13" s="3">
        <f>S11+S12</f>
        <v>0.0275</v>
      </c>
      <c r="T13" s="3">
        <f>T11+T12</f>
        <v>0.0275</v>
      </c>
      <c r="U13" s="3">
        <f>U11+U12</f>
        <v>0.0275</v>
      </c>
      <c r="V13" s="3">
        <f>V11+V12</f>
        <v>0.0275</v>
      </c>
      <c r="W13" s="3">
        <f>W11+W12</f>
        <v>0.0275</v>
      </c>
      <c r="X13" s="3">
        <f>X11+X12</f>
        <v>0.0275</v>
      </c>
    </row>
    <row r="14">
      <c r="A14" s="3" t="inlineStr">
        <is>
          <t xml:space="preserve"/>
        </is>
      </c>
      <c r="B14" s="3" t="inlineStr">
        <is>
          <t xml:space="preserve"/>
        </is>
      </c>
      <c r="C14" s="3" t="inlineStr">
        <is>
          <t xml:space="preserve">Финансовый результат</t>
        </is>
      </c>
      <c r="D14" s="3" t="inlineStr">
        <is>
          <t xml:space="preserve"/>
        </is>
      </c>
      <c r="E14" s="3" t="inlineStr">
        <is>
          <t xml:space="preserve"/>
        </is>
      </c>
      <c r="F14" s="3" t="inlineStr">
        <is>
          <t xml:space="preserve"/>
        </is>
      </c>
      <c r="G14" s="3" t="inlineStr">
        <is>
          <t xml:space="preserve"/>
        </is>
      </c>
      <c r="H14" s="3" t="inlineStr">
        <is>
          <t xml:space="preserve"/>
        </is>
      </c>
      <c r="I14" s="3">
        <f>SUM(M14:X14)</f>
        <v>102.22036642199137</v>
      </c>
      <c r="J14" s="3" t="inlineStr">
        <is>
          <t xml:space="preserve"/>
        </is>
      </c>
      <c r="K14" s="3">
        <f>I14</f>
        <v>102.22036642199137</v>
      </c>
      <c r="L14" s="3" t="inlineStr">
        <is>
          <t xml:space="preserve"/>
        </is>
      </c>
      <c r="M14" s="3">
        <f>M10-M13</f>
        <v>5.9816882456558655</v>
      </c>
      <c r="N14" s="3">
        <f>N10-N13</f>
        <v>6.2988100652619154</v>
      </c>
      <c r="O14" s="3">
        <f>O10-O13</f>
        <v>7.165462040909068</v>
      </c>
      <c r="P14" s="3">
        <f>P10-P13</f>
        <v>7.691549553621543</v>
      </c>
      <c r="Q14" s="3">
        <f>Q10-Q13</f>
        <v>5.478321553424569</v>
      </c>
      <c r="R14" s="3">
        <f>R10-R13</f>
        <v>9.96032364153884</v>
      </c>
      <c r="S14" s="3">
        <f>S10-S13</f>
        <v>6.663947283210083</v>
      </c>
      <c r="T14" s="3">
        <f>T10-T13</f>
        <v>5.794214106633727</v>
      </c>
      <c r="U14" s="3">
        <f>U10-U13</f>
        <v>7.139057134399284</v>
      </c>
      <c r="V14" s="3">
        <f>V10-V13</f>
        <v>10.3268688544079</v>
      </c>
      <c r="W14" s="3">
        <f>W10-W13</f>
        <v>15.655864331498714</v>
      </c>
      <c r="X14" s="3">
        <f>X10-X13</f>
        <v>14.064259611429863</v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>Подписано КС по первичке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s="2">
        <f>SUM(M15:X15)</f>
        <v>0</v>
      </c>
      <c r="J15" t="inlineStr">
        <is>
          <t xml:space="preserve"/>
        </is>
      </c>
      <c r="K15" s="2">
        <f>I15</f>
        <v>0</v>
      </c>
      <c r="L15" t="inlineStr">
        <is>
          <t xml:space="preserve"/>
        </is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>
      <c r="A16" s="3" t="inlineStr">
        <is>
          <t xml:space="preserve"/>
        </is>
      </c>
      <c r="B16" s="3" t="inlineStr">
        <is>
          <t xml:space="preserve"/>
        </is>
      </c>
      <c r="C16" s="3" t="inlineStr">
        <is>
          <t xml:space="preserve">Поступления</t>
        </is>
      </c>
      <c r="D16" s="3" t="inlineStr">
        <is>
          <t xml:space="preserve"/>
        </is>
      </c>
      <c r="E16" s="3" t="inlineStr">
        <is>
          <t xml:space="preserve"/>
        </is>
      </c>
      <c r="F16" s="3" t="inlineStr">
        <is>
          <t xml:space="preserve"/>
        </is>
      </c>
      <c r="G16" s="3" t="inlineStr">
        <is>
          <t xml:space="preserve"/>
        </is>
      </c>
      <c r="H16" s="3" t="inlineStr">
        <is>
          <t xml:space="preserve"/>
        </is>
      </c>
      <c r="I16" s="3">
        <f>SUM(M16:X16)</f>
        <v>83.42387725896296</v>
      </c>
      <c r="J16" s="3" t="inlineStr">
        <is>
          <t xml:space="preserve"/>
        </is>
      </c>
      <c r="K16" s="3">
        <f>I16</f>
        <v>83.42387725896296</v>
      </c>
      <c r="L16" s="3" t="inlineStr">
        <is>
          <t xml:space="preserve"/>
        </is>
      </c>
      <c r="M16" s="3">
        <f>M17+M18+M19</f>
        <v>0.790308360379701</v>
      </c>
      <c r="N16" s="3">
        <f>N17+N18+N19</f>
        <v>5.2256679900779535</v>
      </c>
      <c r="O16" s="3">
        <f>O17+O18+O19</f>
        <v>5.979867989136245</v>
      </c>
      <c r="P16" s="3">
        <f>P17+P18+P19</f>
        <v>6.750982001177136</v>
      </c>
      <c r="Q16" s="3">
        <f>Q17+Q18+Q19</f>
        <v>7.283118762232781</v>
      </c>
      <c r="R16" s="3">
        <f>R17+R18+R19</f>
        <v>5.440787135772054</v>
      </c>
      <c r="S16" s="3">
        <f>S17+S18+S19</f>
        <v>9.06264226109104</v>
      </c>
      <c r="T16" s="3">
        <f>T17+T18+T19</f>
        <v>6.67003067309081</v>
      </c>
      <c r="U16" s="3">
        <f>U17+U18+U19</f>
        <v>5.613253053076795</v>
      </c>
      <c r="V16" s="3">
        <f>V17+V18+V19</f>
        <v>6.680469190041592</v>
      </c>
      <c r="W16" s="3">
        <f>W17+W18+W19</f>
        <v>9.533808298286688</v>
      </c>
      <c r="X16" s="3">
        <f>X17+X18+X19</f>
        <v>14.392941544600152</v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>Оплата за работы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s="2">
        <f>SUM(M17:X17)</f>
        <v>0</v>
      </c>
      <c r="J17" t="inlineStr">
        <is>
          <t xml:space="preserve"/>
        </is>
      </c>
      <c r="K17" s="2">
        <f>I17</f>
        <v>0</v>
      </c>
      <c r="L17" t="inlineStr">
        <is>
          <t xml:space="preserve"/>
        </is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>Авансы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s="2">
        <f>SUM(M18:X18)</f>
        <v>0</v>
      </c>
      <c r="J18" t="inlineStr">
        <is>
          <t xml:space="preserve"/>
        </is>
      </c>
      <c r="K18" s="2">
        <f>I18</f>
        <v>0</v>
      </c>
      <c r="L18" t="inlineStr">
        <is>
          <t xml:space="preserve"/>
        </is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>Факторинг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s="2">
        <f>SUM(M19:X19)</f>
        <v>0</v>
      </c>
      <c r="J19" t="inlineStr">
        <is>
          <t xml:space="preserve"/>
        </is>
      </c>
      <c r="K19" s="2">
        <f>I19</f>
        <v>0</v>
      </c>
      <c r="L19" t="inlineStr">
        <is>
          <t xml:space="preserve"/>
        </is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>Выплаты по статьям расходов</t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s="2">
        <f>SUM(M20:X20)</f>
        <v>0.33</v>
      </c>
      <c r="J20" t="inlineStr">
        <is>
          <t xml:space="preserve"/>
        </is>
      </c>
      <c r="K20" s="2">
        <f>I20</f>
        <v>0.33</v>
      </c>
      <c r="L20" t="inlineStr">
        <is>
          <t xml:space="preserve"/>
        </is>
      </c>
      <c r="M20" s="2">
        <v>0.0275</v>
      </c>
      <c r="N20" s="2">
        <v>0.0275</v>
      </c>
      <c r="O20" s="2">
        <v>0.0275</v>
      </c>
      <c r="P20" s="2">
        <v>0.0275</v>
      </c>
      <c r="Q20" s="2">
        <v>0.0275</v>
      </c>
      <c r="R20" s="2">
        <v>0.0275</v>
      </c>
      <c r="S20" s="2">
        <v>0.0275</v>
      </c>
      <c r="T20" s="2">
        <v>0.0275</v>
      </c>
      <c r="U20" s="2">
        <v>0.0275</v>
      </c>
      <c r="V20" s="2">
        <v>0.0275</v>
      </c>
      <c r="W20" s="2">
        <v>0.0275</v>
      </c>
      <c r="X20" s="2">
        <v>0.0275</v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>НДС к выплате</t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s="2">
        <f>SUM(M21:X21)</f>
        <v>0</v>
      </c>
      <c r="J21" t="inlineStr">
        <is>
          <t xml:space="preserve"/>
        </is>
      </c>
      <c r="K21" s="2">
        <f>I21</f>
        <v>0</v>
      </c>
      <c r="L21" t="inlineStr">
        <is>
          <t xml:space="preserve"/>
        </is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>
      <c r="A22" s="3" t="inlineStr">
        <is>
          <t xml:space="preserve"/>
        </is>
      </c>
      <c r="B22" s="3" t="inlineStr">
        <is>
          <t xml:space="preserve"/>
        </is>
      </c>
      <c r="C22" s="3" t="inlineStr">
        <is>
          <t xml:space="preserve">CF за период</t>
        </is>
      </c>
      <c r="D22" s="3" t="inlineStr">
        <is>
          <t xml:space="preserve"/>
        </is>
      </c>
      <c r="E22" s="3" t="inlineStr">
        <is>
          <t xml:space="preserve"/>
        </is>
      </c>
      <c r="F22" s="3" t="inlineStr">
        <is>
          <t xml:space="preserve"/>
        </is>
      </c>
      <c r="G22" s="3" t="inlineStr">
        <is>
          <t xml:space="preserve"/>
        </is>
      </c>
      <c r="H22" s="3" t="inlineStr">
        <is>
          <t xml:space="preserve"/>
        </is>
      </c>
      <c r="I22" s="3">
        <f>SUM(M22:X22)</f>
        <v>83.09387725896296</v>
      </c>
      <c r="J22" s="3" t="inlineStr">
        <is>
          <t xml:space="preserve"/>
        </is>
      </c>
      <c r="K22" s="3">
        <f>I22</f>
        <v>83.09387725896296</v>
      </c>
      <c r="L22" s="3" t="inlineStr">
        <is>
          <t xml:space="preserve"/>
        </is>
      </c>
      <c r="M22" s="3">
        <f>M16-M20-M21</f>
        <v>0.762808360379701</v>
      </c>
      <c r="N22" s="3">
        <f>N16-N20-N21</f>
        <v>5.198167990077954</v>
      </c>
      <c r="O22" s="3">
        <f>O16-O20-O21</f>
        <v>5.9523679891362455</v>
      </c>
      <c r="P22" s="3">
        <f>P16-P20-P21</f>
        <v>6.7234820011771355</v>
      </c>
      <c r="Q22" s="3">
        <f>Q16-Q20-Q21</f>
        <v>7.25561876223278</v>
      </c>
      <c r="R22" s="3">
        <f>R16-R20-R21</f>
        <v>5.4132871357720544</v>
      </c>
      <c r="S22" s="3">
        <f>S16-S20-S21</f>
        <v>9.03514226109104</v>
      </c>
      <c r="T22" s="3">
        <f>T16-T20-T21</f>
        <v>6.64253067309081</v>
      </c>
      <c r="U22" s="3">
        <f>U16-U20-U21</f>
        <v>5.585753053076794</v>
      </c>
      <c r="V22" s="3">
        <f>V16-V20-V21</f>
        <v>6.652969190041591</v>
      </c>
      <c r="W22" s="3">
        <f>W16-W20-W21</f>
        <v>9.506308298286688</v>
      </c>
      <c r="X22" s="3">
        <f>X16-X20-X21</f>
        <v>14.365441544600152</v>
      </c>
    </row>
    <row r="23">
      <c r="A23" s="3" t="inlineStr">
        <is>
          <t xml:space="preserve"/>
        </is>
      </c>
      <c r="B23" s="3" t="inlineStr">
        <is>
          <t xml:space="preserve"/>
        </is>
      </c>
      <c r="C23" s="3" t="inlineStr">
        <is>
          <t xml:space="preserve">CF накопительно</t>
        </is>
      </c>
      <c r="D23" s="3" t="inlineStr">
        <is>
          <t xml:space="preserve"/>
        </is>
      </c>
      <c r="E23" s="3" t="inlineStr">
        <is>
          <t xml:space="preserve"/>
        </is>
      </c>
      <c r="F23" s="3" t="inlineStr">
        <is>
          <t xml:space="preserve"/>
        </is>
      </c>
      <c r="G23" s="3" t="inlineStr">
        <is>
          <t xml:space="preserve"/>
        </is>
      </c>
      <c r="H23" s="3" t="inlineStr">
        <is>
          <t xml:space="preserve"/>
        </is>
      </c>
      <c r="I23" s="3">
        <f>X23</f>
        <v>83.09387725896296</v>
      </c>
      <c r="J23" s="3" t="inlineStr">
        <is>
          <t xml:space="preserve"/>
        </is>
      </c>
      <c r="K23" s="3">
        <f>I23</f>
        <v>83.09387725896296</v>
      </c>
      <c r="L23" s="3" t="inlineStr">
        <is>
          <t xml:space="preserve"/>
        </is>
      </c>
      <c r="M23" s="3">
        <f>M22+0</f>
        <v>0.762808360379701</v>
      </c>
      <c r="N23" s="3">
        <f>M23+N22</f>
        <v>5.960976350457655</v>
      </c>
      <c r="O23" s="3">
        <f>N23+O22</f>
        <v>11.9133443395939</v>
      </c>
      <c r="P23" s="3">
        <f>O23+P22</f>
        <v>18.636826340771034</v>
      </c>
      <c r="Q23" s="3">
        <f>P23+Q22</f>
        <v>25.892445103003816</v>
      </c>
      <c r="R23" s="3">
        <f>Q23+R22</f>
        <v>31.305732238775867</v>
      </c>
      <c r="S23" s="3">
        <f>R23+S22</f>
        <v>40.34087449986691</v>
      </c>
      <c r="T23" s="3">
        <f>S23+T22</f>
        <v>46.98340517295772</v>
      </c>
      <c r="U23" s="3">
        <f>T23+U22</f>
        <v>52.56915822603452</v>
      </c>
      <c r="V23" s="3">
        <f>U23+V22</f>
        <v>59.222127416076106</v>
      </c>
      <c r="W23" s="3">
        <f>V23+W22</f>
        <v>68.7284357143628</v>
      </c>
      <c r="X23" s="3">
        <f>W23+X22</f>
        <v>83.09387725896296</v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>Прямые: Заработная плата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s="2">
        <f>SUM(M24:X24)</f>
        <v>0</v>
      </c>
      <c r="J24" t="inlineStr">
        <is>
          <t xml:space="preserve"/>
        </is>
      </c>
      <c r="K24" s="2">
        <f>I24</f>
        <v>0</v>
      </c>
      <c r="L24" t="inlineStr">
        <is>
          <t xml:space="preserve"/>
        </is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>Прямые: НДФЛ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s="2">
        <f>SUM(M25:X25)</f>
        <v>0</v>
      </c>
      <c r="J25" t="inlineStr">
        <is>
          <t xml:space="preserve"/>
        </is>
      </c>
      <c r="K25" s="2">
        <f>I25</f>
        <v>0</v>
      </c>
      <c r="L25" t="inlineStr">
        <is>
          <t xml:space="preserve"/>
        </is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>Прямые: Страховые взносы</t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s="2">
        <f>SUM(M26:X26)</f>
        <v>0</v>
      </c>
      <c r="J26" t="inlineStr">
        <is>
          <t xml:space="preserve"/>
        </is>
      </c>
      <c r="K26" s="2">
        <f>I26</f>
        <v>0</v>
      </c>
      <c r="L26" t="inlineStr">
        <is>
          <t xml:space="preserve"/>
        </is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>Прямые: Резерв на отпуска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s="2">
        <f>SUM(M27:X27)</f>
        <v>0</v>
      </c>
      <c r="J27" t="inlineStr">
        <is>
          <t xml:space="preserve"/>
        </is>
      </c>
      <c r="K27" s="2">
        <f>I27</f>
        <v>0</v>
      </c>
      <c r="L27" t="inlineStr">
        <is>
          <t xml:space="preserve"/>
        </is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>Прямые: Субподряд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s="2">
        <f>SUM(M28:X28)</f>
        <v>0</v>
      </c>
      <c r="J28" t="inlineStr">
        <is>
          <t xml:space="preserve"/>
        </is>
      </c>
      <c r="K28" s="2">
        <f>I28</f>
        <v>0</v>
      </c>
      <c r="L28" t="inlineStr">
        <is>
          <t xml:space="preserve"/>
        </is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>Прямые: Строительная техника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s="2">
        <f>SUM(M29:X29)</f>
        <v>0</v>
      </c>
      <c r="J29" t="inlineStr">
        <is>
          <t xml:space="preserve"/>
        </is>
      </c>
      <c r="K29" s="2">
        <f>I29</f>
        <v>0</v>
      </c>
      <c r="L29" t="inlineStr">
        <is>
          <t xml:space="preserve"/>
        </is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>Прямые: Строительные леса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s="2">
        <f>SUM(M30:X30)</f>
        <v>0</v>
      </c>
      <c r="J30" t="inlineStr">
        <is>
          <t xml:space="preserve"/>
        </is>
      </c>
      <c r="K30" s="2">
        <f>I30</f>
        <v>0</v>
      </c>
      <c r="L30" t="inlineStr">
        <is>
          <t xml:space="preserve"/>
        </is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>Прямые: Лесомонтаж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s="2">
        <f>SUM(M31:X31)</f>
        <v>0</v>
      </c>
      <c r="J31" t="inlineStr">
        <is>
          <t xml:space="preserve"/>
        </is>
      </c>
      <c r="K31" s="2">
        <f>I31</f>
        <v>0</v>
      </c>
      <c r="L31" t="inlineStr">
        <is>
          <t xml:space="preserve"/>
        </is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>Прямые: Проектные материалы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s="2">
        <f>SUM(M32:X32)</f>
        <v>0</v>
      </c>
      <c r="J32" t="inlineStr">
        <is>
          <t xml:space="preserve"/>
        </is>
      </c>
      <c r="K32" s="2">
        <f>I32</f>
        <v>0</v>
      </c>
      <c r="L32" t="inlineStr">
        <is>
          <t xml:space="preserve"/>
        </is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</row>
    <row r="33">
      <c r="A33" t="inlineStr">
        <is>
          <t xml:space="preserve"/>
        </is>
      </c>
      <c r="B33" t="inlineStr">
        <is>
          <t xml:space="preserve"/>
        </is>
      </c>
      <c r="C33" t="inlineStr">
        <is>
          <t xml:space="preserve">Прямые: Расходные материалы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s="2">
        <f>SUM(M33:X33)</f>
        <v>0</v>
      </c>
      <c r="J33" t="inlineStr">
        <is>
          <t xml:space="preserve"/>
        </is>
      </c>
      <c r="K33" s="2">
        <f>I33</f>
        <v>0</v>
      </c>
      <c r="L33" t="inlineStr">
        <is>
          <t xml:space="preserve"/>
        </is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</row>
    <row r="34">
      <c r="A34" t="inlineStr">
        <is>
          <t xml:space="preserve"/>
        </is>
      </c>
      <c r="B34" t="inlineStr">
        <is>
          <t xml:space="preserve"/>
        </is>
      </c>
      <c r="C34" t="inlineStr">
        <is>
          <t xml:space="preserve">Прямые: НРК</t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s="2">
        <f>SUM(M34:X34)</f>
        <v>0</v>
      </c>
      <c r="J34" t="inlineStr">
        <is>
          <t xml:space="preserve"/>
        </is>
      </c>
      <c r="K34" s="2">
        <f>I34</f>
        <v>0</v>
      </c>
      <c r="L34" t="inlineStr">
        <is>
          <t xml:space="preserve"/>
        </is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>Прямые: Прочие прямые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s="2">
        <f>SUM(M35:X35)</f>
        <v>0</v>
      </c>
      <c r="J35" t="inlineStr">
        <is>
          <t xml:space="preserve"/>
        </is>
      </c>
      <c r="K35" s="2">
        <f>I35</f>
        <v>0</v>
      </c>
      <c r="L35" t="inlineStr">
        <is>
          <t xml:space="preserve"/>
        </is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>
      <c r="A36" t="inlineStr">
        <is>
          <t xml:space="preserve"/>
        </is>
      </c>
      <c r="B36" t="inlineStr">
        <is>
          <t xml:space="preserve"/>
        </is>
      </c>
      <c r="C36" t="inlineStr">
        <is>
          <t xml:space="preserve">Косвенные: Заработная плата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s="2">
        <f>SUM(M36:X36)</f>
        <v>0</v>
      </c>
      <c r="J36" t="inlineStr">
        <is>
          <t xml:space="preserve"/>
        </is>
      </c>
      <c r="K36" s="2">
        <f>I36</f>
        <v>0</v>
      </c>
      <c r="L36" t="inlineStr">
        <is>
          <t xml:space="preserve"/>
        </is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</row>
    <row r="37">
      <c r="A37" t="inlineStr">
        <is>
          <t xml:space="preserve"/>
        </is>
      </c>
      <c r="B37" t="inlineStr">
        <is>
          <t xml:space="preserve"/>
        </is>
      </c>
      <c r="C37" t="inlineStr">
        <is>
          <t xml:space="preserve">Косвенные: НДФЛ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s="2">
        <f>SUM(M37:X37)</f>
        <v>0</v>
      </c>
      <c r="J37" t="inlineStr">
        <is>
          <t xml:space="preserve"/>
        </is>
      </c>
      <c r="K37" s="2">
        <f>I37</f>
        <v>0</v>
      </c>
      <c r="L37" t="inlineStr">
        <is>
          <t xml:space="preserve"/>
        </is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>Косвенные: Страховые взносы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s="2">
        <f>SUM(M38:X38)</f>
        <v>0</v>
      </c>
      <c r="J38" t="inlineStr">
        <is>
          <t xml:space="preserve"/>
        </is>
      </c>
      <c r="K38" s="2">
        <f>I38</f>
        <v>0</v>
      </c>
      <c r="L38" t="inlineStr">
        <is>
          <t xml:space="preserve"/>
        </is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</row>
    <row r="39">
      <c r="A39" t="inlineStr">
        <is>
          <t xml:space="preserve"/>
        </is>
      </c>
      <c r="B39" t="inlineStr">
        <is>
          <t xml:space="preserve"/>
        </is>
      </c>
      <c r="C39" t="inlineStr">
        <is>
          <t xml:space="preserve">Косвенные: Резерв на отпуска</t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s="2">
        <f>SUM(M39:X39)</f>
        <v>0</v>
      </c>
      <c r="J39" t="inlineStr">
        <is>
          <t xml:space="preserve"/>
        </is>
      </c>
      <c r="K39" s="2">
        <f>I39</f>
        <v>0</v>
      </c>
      <c r="L39" t="inlineStr">
        <is>
          <t xml:space="preserve"/>
        </is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</row>
    <row r="40">
      <c r="A40" t="inlineStr">
        <is>
          <t xml:space="preserve"/>
        </is>
      </c>
      <c r="B40" t="inlineStr">
        <is>
          <t xml:space="preserve"/>
        </is>
      </c>
      <c r="C40" t="inlineStr">
        <is>
          <t xml:space="preserve">Косвенные: Питание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s="2">
        <f>SUM(M40:X40)</f>
        <v>0</v>
      </c>
      <c r="J40" t="inlineStr">
        <is>
          <t xml:space="preserve"/>
        </is>
      </c>
      <c r="K40" s="2">
        <f>I40</f>
        <v>0</v>
      </c>
      <c r="L40" t="inlineStr">
        <is>
          <t xml:space="preserve"/>
        </is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</row>
    <row r="41">
      <c r="A41" t="inlineStr">
        <is>
          <t xml:space="preserve"/>
        </is>
      </c>
      <c r="B41" t="inlineStr">
        <is>
          <t xml:space="preserve"/>
        </is>
      </c>
      <c r="C41" t="inlineStr">
        <is>
          <t xml:space="preserve">Косвенные: Проживание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s="2">
        <f>SUM(M41:X41)</f>
        <v>0</v>
      </c>
      <c r="J41" t="inlineStr">
        <is>
          <t xml:space="preserve"/>
        </is>
      </c>
      <c r="K41" s="2">
        <f>I41</f>
        <v>0</v>
      </c>
      <c r="L41" t="inlineStr">
        <is>
          <t xml:space="preserve"/>
        </is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</row>
    <row r="42">
      <c r="A42" t="inlineStr">
        <is>
          <t xml:space="preserve"/>
        </is>
      </c>
      <c r="B42" t="inlineStr">
        <is>
          <t xml:space="preserve"/>
        </is>
      </c>
      <c r="C42" t="inlineStr">
        <is>
          <t xml:space="preserve">Косвенные: Аренда автобусов</t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s="2">
        <f>SUM(M42:X42)</f>
        <v>0</v>
      </c>
      <c r="J42" t="inlineStr">
        <is>
          <t xml:space="preserve"/>
        </is>
      </c>
      <c r="K42" s="2">
        <f>I42</f>
        <v>0</v>
      </c>
      <c r="L42" t="inlineStr">
        <is>
          <t xml:space="preserve"/>
        </is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</row>
    <row r="43">
      <c r="A43" t="inlineStr">
        <is>
          <t xml:space="preserve"/>
        </is>
      </c>
      <c r="B43" t="inlineStr">
        <is>
          <t xml:space="preserve"/>
        </is>
      </c>
      <c r="C43" t="inlineStr">
        <is>
          <t xml:space="preserve">Косвенные: Аренда автомобиля</t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s="2">
        <f>SUM(M43:X43)</f>
        <v>0</v>
      </c>
      <c r="J43" t="inlineStr">
        <is>
          <t xml:space="preserve"/>
        </is>
      </c>
      <c r="K43" s="2">
        <f>I43</f>
        <v>0</v>
      </c>
      <c r="L43" t="inlineStr">
        <is>
          <t xml:space="preserve"/>
        </is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</row>
    <row r="44">
      <c r="A44" t="inlineStr">
        <is>
          <t xml:space="preserve"/>
        </is>
      </c>
      <c r="B44" t="inlineStr">
        <is>
          <t xml:space="preserve"/>
        </is>
      </c>
      <c r="C44" t="inlineStr">
        <is>
          <t xml:space="preserve">Косвенные: Аренда опалубки</t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s="2">
        <f>SUM(M44:X44)</f>
        <v>0</v>
      </c>
      <c r="J44" t="inlineStr">
        <is>
          <t xml:space="preserve"/>
        </is>
      </c>
      <c r="K44" s="2">
        <f>I44</f>
        <v>0</v>
      </c>
      <c r="L44" t="inlineStr">
        <is>
          <t xml:space="preserve"/>
        </is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>
      <c r="A45" t="inlineStr">
        <is>
          <t xml:space="preserve"/>
        </is>
      </c>
      <c r="B45" t="inlineStr">
        <is>
          <t xml:space="preserve"/>
        </is>
      </c>
      <c r="C45" t="inlineStr">
        <is>
          <t xml:space="preserve">Косвенные: СИЗы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s="2">
        <f>SUM(M45:X45)</f>
        <v>0</v>
      </c>
      <c r="J45" t="inlineStr">
        <is>
          <t xml:space="preserve"/>
        </is>
      </c>
      <c r="K45" s="2">
        <f>I45</f>
        <v>0</v>
      </c>
      <c r="L45" t="inlineStr">
        <is>
          <t xml:space="preserve"/>
        </is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</row>
    <row r="46">
      <c r="A46" t="inlineStr">
        <is>
          <t xml:space="preserve"/>
        </is>
      </c>
      <c r="B46" t="inlineStr">
        <is>
          <t xml:space="preserve"/>
        </is>
      </c>
      <c r="C46" t="inlineStr">
        <is>
          <t xml:space="preserve">Косвенные: Приобретение билетов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s="2">
        <f>SUM(M46:X46)</f>
        <v>0</v>
      </c>
      <c r="J46" t="inlineStr">
        <is>
          <t xml:space="preserve"/>
        </is>
      </c>
      <c r="K46" s="2">
        <f>I46</f>
        <v>0</v>
      </c>
      <c r="L46" t="inlineStr">
        <is>
          <t xml:space="preserve"/>
        </is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</row>
    <row r="47">
      <c r="A47" t="inlineStr">
        <is>
          <t xml:space="preserve"/>
        </is>
      </c>
      <c r="B47" t="inlineStr">
        <is>
          <t xml:space="preserve"/>
        </is>
      </c>
      <c r="C47" t="inlineStr">
        <is>
          <t xml:space="preserve">Косвенные: Разрешение на работу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s="2">
        <f>SUM(M47:X47)</f>
        <v>0</v>
      </c>
      <c r="J47" t="inlineStr">
        <is>
          <t xml:space="preserve"/>
        </is>
      </c>
      <c r="K47" s="2">
        <f>I47</f>
        <v>0</v>
      </c>
      <c r="L47" t="inlineStr">
        <is>
          <t xml:space="preserve"/>
        </is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</row>
    <row r="48">
      <c r="A48" t="inlineStr">
        <is>
          <t xml:space="preserve"/>
        </is>
      </c>
      <c r="B48" t="inlineStr">
        <is>
          <t xml:space="preserve"/>
        </is>
      </c>
      <c r="C48" t="inlineStr">
        <is>
          <t xml:space="preserve">Косвенные: Медицинские услуги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s="2">
        <f>SUM(M48:X48)</f>
        <v>0</v>
      </c>
      <c r="J48" t="inlineStr">
        <is>
          <t xml:space="preserve"/>
        </is>
      </c>
      <c r="K48" s="2">
        <f>I48</f>
        <v>0</v>
      </c>
      <c r="L48" t="inlineStr">
        <is>
          <t xml:space="preserve"/>
        </is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</row>
    <row r="49">
      <c r="A49" t="inlineStr">
        <is>
          <t xml:space="preserve"/>
        </is>
      </c>
      <c r="B49" t="inlineStr">
        <is>
          <t xml:space="preserve"/>
        </is>
      </c>
      <c r="C49" t="inlineStr">
        <is>
          <t xml:space="preserve">Косвенные: ВЗиС для ОР</t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s="2">
        <f>SUM(M49:X49)</f>
        <v>0</v>
      </c>
      <c r="J49" t="inlineStr">
        <is>
          <t xml:space="preserve"/>
        </is>
      </c>
      <c r="K49" s="2">
        <f>I49</f>
        <v>0</v>
      </c>
      <c r="L49" t="inlineStr">
        <is>
          <t xml:space="preserve"/>
        </is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</row>
    <row r="50">
      <c r="A50" t="inlineStr">
        <is>
          <t xml:space="preserve"/>
        </is>
      </c>
      <c r="B50" t="inlineStr">
        <is>
          <t xml:space="preserve"/>
        </is>
      </c>
      <c r="C50" t="inlineStr">
        <is>
          <t xml:space="preserve">Косвенные: Аренда офиса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s="2">
        <f>SUM(M50:X50)</f>
        <v>0.09</v>
      </c>
      <c r="J50" t="inlineStr">
        <is>
          <t xml:space="preserve"/>
        </is>
      </c>
      <c r="K50" s="2">
        <f>I50</f>
        <v>0.09</v>
      </c>
      <c r="L50" t="inlineStr">
        <is>
          <t xml:space="preserve"/>
        </is>
      </c>
      <c r="M50" s="2">
        <v>0.0075</v>
      </c>
      <c r="N50" s="2">
        <v>0.0075</v>
      </c>
      <c r="O50" s="2">
        <v>0.0075</v>
      </c>
      <c r="P50" s="2">
        <v>0.0075</v>
      </c>
      <c r="Q50" s="2">
        <v>0.0075</v>
      </c>
      <c r="R50" s="2">
        <v>0.0075</v>
      </c>
      <c r="S50" s="2">
        <v>0.0075</v>
      </c>
      <c r="T50" s="2">
        <v>0.0075</v>
      </c>
      <c r="U50" s="2">
        <v>0.0075</v>
      </c>
      <c r="V50" s="2">
        <v>0.0075</v>
      </c>
      <c r="W50" s="2">
        <v>0.0075</v>
      </c>
      <c r="X50" s="2">
        <v>0.0075</v>
      </c>
    </row>
    <row r="51">
      <c r="A51" t="inlineStr">
        <is>
          <t xml:space="preserve"/>
        </is>
      </c>
      <c r="B51" t="inlineStr">
        <is>
          <t xml:space="preserve"/>
        </is>
      </c>
      <c r="C51" t="inlineStr">
        <is>
          <t xml:space="preserve">Косвенные: Аренда склада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s="2">
        <f>SUM(M51:X51)</f>
        <v>0.24</v>
      </c>
      <c r="J51" t="inlineStr">
        <is>
          <t xml:space="preserve"/>
        </is>
      </c>
      <c r="K51" s="2">
        <f>I51</f>
        <v>0.24</v>
      </c>
      <c r="L51" t="inlineStr">
        <is>
          <t xml:space="preserve"/>
        </is>
      </c>
      <c r="M51" s="2">
        <v>0.02</v>
      </c>
      <c r="N51" s="2">
        <v>0.02</v>
      </c>
      <c r="O51" s="2">
        <v>0.02</v>
      </c>
      <c r="P51" s="2">
        <v>0.02</v>
      </c>
      <c r="Q51" s="2">
        <v>0.02</v>
      </c>
      <c r="R51" s="2">
        <v>0.02</v>
      </c>
      <c r="S51" s="2">
        <v>0.02</v>
      </c>
      <c r="T51" s="2">
        <v>0.02</v>
      </c>
      <c r="U51" s="2">
        <v>0.02</v>
      </c>
      <c r="V51" s="2">
        <v>0.02</v>
      </c>
      <c r="W51" s="2">
        <v>0.02</v>
      </c>
      <c r="X51" s="2">
        <v>0.02</v>
      </c>
    </row>
    <row r="52">
      <c r="A52" t="inlineStr">
        <is>
          <t xml:space="preserve"/>
        </is>
      </c>
      <c r="B52" t="inlineStr">
        <is>
          <t xml:space="preserve"/>
        </is>
      </c>
      <c r="C52" t="inlineStr">
        <is>
          <t xml:space="preserve">Косвенные: Интернет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s="2">
        <f>SUM(M52:X52)</f>
        <v>0</v>
      </c>
      <c r="J52" t="inlineStr">
        <is>
          <t xml:space="preserve"/>
        </is>
      </c>
      <c r="K52" s="2">
        <f>I52</f>
        <v>0</v>
      </c>
      <c r="L52" t="inlineStr">
        <is>
          <t xml:space="preserve"/>
        </is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>
      <c r="A53" t="inlineStr">
        <is>
          <t xml:space="preserve"/>
        </is>
      </c>
      <c r="B53" t="inlineStr">
        <is>
          <t xml:space="preserve"/>
        </is>
      </c>
      <c r="C53" t="inlineStr">
        <is>
          <t xml:space="preserve">Косвенные: Обращение с ТБО и ЖБО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s="2">
        <f>SUM(M53:X53)</f>
        <v>0</v>
      </c>
      <c r="J53" t="inlineStr">
        <is>
          <t xml:space="preserve"/>
        </is>
      </c>
      <c r="K53" s="2">
        <f>I53</f>
        <v>0</v>
      </c>
      <c r="L53" t="inlineStr">
        <is>
          <t xml:space="preserve"/>
        </is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>
      <c r="A54" t="inlineStr">
        <is>
          <t xml:space="preserve"/>
        </is>
      </c>
      <c r="B54" t="inlineStr">
        <is>
          <t xml:space="preserve"/>
        </is>
      </c>
      <c r="C54" t="inlineStr">
        <is>
          <t xml:space="preserve">Косвенные: Охрана труда</t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s="2">
        <f>SUM(M54:X54)</f>
        <v>0</v>
      </c>
      <c r="J54" t="inlineStr">
        <is>
          <t xml:space="preserve"/>
        </is>
      </c>
      <c r="K54" s="2">
        <f>I54</f>
        <v>0</v>
      </c>
      <c r="L54" t="inlineStr">
        <is>
          <t xml:space="preserve"/>
        </is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</row>
    <row r="55">
      <c r="A55" t="inlineStr">
        <is>
          <t xml:space="preserve"/>
        </is>
      </c>
      <c r="B55" t="inlineStr">
        <is>
          <t xml:space="preserve"/>
        </is>
      </c>
      <c r="C55" t="inlineStr">
        <is>
          <t xml:space="preserve">Косвенные: Страхование от НС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s="2">
        <f>SUM(M55:X55)</f>
        <v>0</v>
      </c>
      <c r="J55" t="inlineStr">
        <is>
          <t xml:space="preserve"/>
        </is>
      </c>
      <c r="K55" s="2">
        <f>I55</f>
        <v>0</v>
      </c>
      <c r="L55" t="inlineStr">
        <is>
          <t xml:space="preserve"/>
        </is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</row>
    <row r="56">
      <c r="A56" t="inlineStr">
        <is>
          <t xml:space="preserve"/>
        </is>
      </c>
      <c r="B56" t="inlineStr">
        <is>
          <t xml:space="preserve"/>
        </is>
      </c>
      <c r="C56" t="inlineStr">
        <is>
          <t xml:space="preserve">Косвенные: IT-материалы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s="2">
        <f>SUM(M56:X56)</f>
        <v>0</v>
      </c>
      <c r="J56" t="inlineStr">
        <is>
          <t xml:space="preserve"/>
        </is>
      </c>
      <c r="K56" s="2">
        <f>I56</f>
        <v>0</v>
      </c>
      <c r="L56" t="inlineStr">
        <is>
          <t xml:space="preserve"/>
        </is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>
      <c r="A57" t="inlineStr">
        <is>
          <t xml:space="preserve"/>
        </is>
      </c>
      <c r="B57" t="inlineStr">
        <is>
          <t xml:space="preserve"/>
        </is>
      </c>
      <c r="C57" t="inlineStr">
        <is>
          <t xml:space="preserve">Косвенные: Приобретение контейнеров</t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s="2">
        <f>SUM(M57:X57)</f>
        <v>0</v>
      </c>
      <c r="J57" t="inlineStr">
        <is>
          <t xml:space="preserve"/>
        </is>
      </c>
      <c r="K57" s="2">
        <f>I57</f>
        <v>0</v>
      </c>
      <c r="L57" t="inlineStr">
        <is>
          <t xml:space="preserve"/>
        </is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>
      <c r="A58" t="inlineStr">
        <is>
          <t xml:space="preserve"/>
        </is>
      </c>
      <c r="B58" t="inlineStr">
        <is>
          <t xml:space="preserve"/>
        </is>
      </c>
      <c r="C58" t="inlineStr">
        <is>
          <t xml:space="preserve">Косвенные: Приобретение модульного офиса</t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s="2">
        <f>SUM(M58:X58)</f>
        <v>0</v>
      </c>
      <c r="J58" t="inlineStr">
        <is>
          <t xml:space="preserve"/>
        </is>
      </c>
      <c r="K58" s="2">
        <f>I58</f>
        <v>0</v>
      </c>
      <c r="L58" t="inlineStr">
        <is>
          <t xml:space="preserve"/>
        </is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>
      <c r="A59" t="inlineStr">
        <is>
          <t xml:space="preserve"/>
        </is>
      </c>
      <c r="B59" t="inlineStr">
        <is>
          <t xml:space="preserve"/>
        </is>
      </c>
      <c r="C59" t="inlineStr">
        <is>
          <t xml:space="preserve">Косвенные: Транспортные услуги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s="2">
        <f>SUM(M59:X59)</f>
        <v>0</v>
      </c>
      <c r="J59" t="inlineStr">
        <is>
          <t xml:space="preserve"/>
        </is>
      </c>
      <c r="K59" s="2">
        <f>I59</f>
        <v>0</v>
      </c>
      <c r="L59" t="inlineStr">
        <is>
          <t xml:space="preserve"/>
        </is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>
      <c r="A60" t="inlineStr">
        <is>
          <t xml:space="preserve"/>
        </is>
      </c>
      <c r="B60" t="inlineStr">
        <is>
          <t xml:space="preserve"/>
        </is>
      </c>
      <c r="C60" t="inlineStr">
        <is>
          <t xml:space="preserve">Косвенные: Прочие косвенные расходы</t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s="2">
        <f>SUM(M60:X60)</f>
        <v>0</v>
      </c>
      <c r="J60" t="inlineStr">
        <is>
          <t xml:space="preserve"/>
        </is>
      </c>
      <c r="K60" s="2">
        <f>I60</f>
        <v>0</v>
      </c>
      <c r="L60" t="inlineStr">
        <is>
          <t xml:space="preserve"/>
        </is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</row>
    <row r="61"/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sheetData>
    <row r="1">
      <c r="A1" t="inlineStr">
        <is>
          <t xml:space="preserve">Служебные данные приложения</t>
        </is>
      </c>
    </row>
    <row r="2">
      <c r="A2" t="inlineStr">
        <is>
          <t xml:space="preserve">{"application":"financial-economic-model","fileType":"contractor","schemaVersion":2,"savedAt":"2026-09-25T12:42:30.520Z","contractor":{"id":"c_mugvjjiee42h","name":"Подрядчик 2 · расчётный сценарий"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currency":"USD"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окончания"]}},"personnel":{"enabled":true,"required":true,"path":"data/contractors/c_mugvjjiee42h/sources/personnel.xlsx","sheetAliases":["Персонал","График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персонала"]}},"equipment":{"enabled":true,"required":true,"path":"data/contractors/c_mugvjjiee42h/sources/equipment.xlsx","sheetAliases":["Техника","График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KQ"],"discipline":["Дисциплина"]}},"primary_documents":{"enabled":true,"required":true,"path":"data/contractors/c_mugvjjiee42h/sources/parameters.xlsx","sheetAliases":["Первичка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факт"]}},"payments":{"enabled":true,"required":true,"path":"data/contractors/c_mugvjjiee42h/sources/payments.xlsx","sheetAliases":["Платежи","Реестр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расхода"]}},"factoring":{"enabled":true,"required":false,"path":"data/contractors/c_mugvjjiee42h/sources/factoring.xlsx","sheetAliases":["Факторинг","Реестр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руб."]}}}},"contracts":[{"id":"d_mugvk5lsgiiq","number":"4700134228","name":"Расчётный договор 4700134228 · +5 месяцев, ставка и объём ×2","sourceIdentityConfirmed":true,"sourceProfiles":{"boq":{"enabled":true,"required":true,"currency":"USD","path":"data/contractors/derived-4700134228/sources/boq.xlsx","sheetAliases":["BOQ","Ведомость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KQ-2"]},"overrides":{"item_code":{"mode":"header","value":"Шифр ЕР"},"item_name":{"mode":"header","value":"Наименование ЕР"},"unit":{"mode":"header","value":"Ед. изм."},"contract_quantity":{"mode":"header","value":"Кол-во по BoQ"},"labor_hours_unit":{"mode":"header","value":"Трудозатраты за ед., чел.-час."},"labor_hours_total":{"mode":"header","value":"Трудозатраты всего, чел.-час"},"machine_hours_unit":{"mode":"header","value":"Машины и механизмы за ед., маш.-час."},"machine_hours_total":{"mode":"header","value":"Машины и механизмы всего, маш.-час"},"smr_unit_rate":{"mode":"header","value":"Един. расценка на СМР прямые затраты, USD"},"materials_unit_rate":{"mode":"header","value":"Един. расценка стоимости материалов и оборудования, USD"},"kq_code":{"mode":"header","value":"Код KQ-1"},"kq_name":{"mode":"header","value":"Наименование KQ-1"}},"sheet":"BOQ","startRow":0,"endRow":0},"ksg":{"enabled":true,"required":true,"path":"data/contractors/derived-4700134228/sources/ksg.xlsx","sheetAliases":["КСГ","Календарный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окончания"]},"overrides":{"kq_code":{"mode":"header","value":"Ключевые работы"},"work_name":{"mode":"header","value":"Название работы"},"work_id":{"mode":"header","value":"Идентификатор работы"},"smr_rate":{"mode":"header","value":"Расценка СМР"},"materials_rate":{"mode":"header","value":"Расценка МТР"},"contract_quantity":{"mode":"header","value":"Контрактные объемы"},"planned_quantity":{"mode":"header","value":"Кол-во по завершении"},"actual_quantity":{"mode":"header","value":"Фактическое количество"},"remaining_quantity":{"mode":"header","value":"Оставшееся количество"},"start_date":{"mode":"header","value":"Начало"},"finish_date":{"mode":"header","value":"Окончание"}},"sheet":"КСГ","startRow":0,"endRow":0},"personnel":{"enabled":true,"required":true,"path":"data/contractors/derived-4700134228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kq_code":{"mode":"header","value":"KQ"},"discipline":{"mode":"header","value":"Дисциплина"},"work_name":{"mode":"header","value":"Наименование работ"},"personnel_type":{"mode":"header","value":"Персонал"}},"sheet":"Персонал","startRow":0,"endRow":0},"equipment":{"enabled":true,"required":true,"path":"data/contractors/derived-4700134228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equipment_type":{"mode":"header","value":"Тип техники"},"equipment_name":{"mode":"header","value":"Техника"},"work_name":{"mode":"header","value":"Наименование работ"},"kq_code":{"mode":"header","value":"KQ"},"discipline":{"mode":"header","value":"Дисциплина"}},"sheet":"Техника","startRow":0,"endRow":0},"primary_documents":{"enabled":true,"required":true,"path":"data/contractors/derived-4700134228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документы"],"headerRow":{"mode":"auto","fallback":1,"searchRows":20},"requiredFields":["contractor","contract_number","currency","document_number","document_date","amount_without_vat"],"fields":{"contractor":["Контрагент"],"contract_number":["Договор с КА"],"project":["Проект"],"currency":["Валюта"],"document_date":["Дата подписания КС"],"amount_without_vat":["Сумма без НДС"],"guarantee_without_vat":["сумма ГУ без НДС"],"advance_offset_without_vat":["Аванс зачет без НДС"],"penalty":["Штрафы / претензии без НДС - удержано"],"discount":["Дисконт после КС за досрочную оплату без НДС"],"otherDeduction":["Прочая ДЗ к удержанию без НДС"]},"overrides":{"contractor":{"mode":"header","value":"Контрагент"},"contract_number":{"mode":"header","value":"Договор с КА"},"project":{"mode":"header","value":"Проект"},"currency":{"mode":"header","value":"Валюта"},"document_date":{"mode":"header","value":"Дата подписания КС"},"amount_without_vat":{"mode":"header","value":"Сумма без НДС"},"guarantee_without_vat":{"mode":"header","value":"сумма ГУ без НДС"},"advance_offset_without_vat":{"mode":"header","value":"Аванс зачет без НДС"},"penalty":{"mode":"header","value":"Штрафы / претензии без НДС - удержано"},"discount":{"mode":"header","value":"Дисконт после КС за досрочную оплату без НДС"},"otherDeduction":{"mode":"header","value":"Прочая ДЗ к удержанию без НДС"}},"sheet":"Первичка в вал.контракта","startRow":0,"endRow":0},"payments":{"enabled":true,"required":true,"path":"data/contractors/derived-4700134228/sources/payments.xlsx","sheetAliases":["Платежи","Реестр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платежа"],"contractor":["Имя 1"],"contract_number":["Номер договора"],"project":["Зона -протянуть формулу"],"currency":["Валюта транзакции"],"amount_with_vat":["Финансирование, с НДС, Влт"],"amount_without_vat":["Финансирование, без НДС, Влт"],"payment_purpose":["Назначение платежа"],"payment_type":["Вид оплаты (аванс, оплата по факту)"]},"overrides":{"payment_date":{"mode":"header","value":"Дата платежа"},"contractor":{"mode":"header","value":"Имя 1"},"contract_number":{"mode":"header","value":"Номер договора"},"project":{"mode":"header","value":"Зона -протянуть формулу"},"currency":{"mode":"header","value":"Валюта транзакции"},"amount_with_vat":{"mode":"header","value":"Финансирование, с НДС, Влт"},"amount_without_vat":{"mode":"header","value":"Финансирование, без НДС, Влт"},"payment_purpose":{"mode":"header","value":"Назначение платежа"},"payment_type":{"mode":"header","value":"Вид оплаты (аванс, оплата по факту)"}},"sheet":"Платежи","startRow":0,"endRow":0},"factoring":{"enabled":true,"required":false,"path":"data/contractors/derived-4700134228/sources/factoring.xlsx","sheetAliases":["Факторинг","Реестр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],"project":["Проект"],"contract_number":["Договор"],"amount_without_vat_currency":["Сумма в евро / Доллар без НДС"],"payment_date":["Дата платежа"]},"overrides":{"contractor":{"mode":"header","value":"Контрагент"},"project":{"mode":"header","value":"Проект"},"contract_number":{"mode":"header","value":"Договор"},"amount_without_vat_currency":{"mode":"header","value":"Сумма в евро / Доллар без НДС"},"payment_date":{"mode":"header","value":"Дата платежа"}},"sheet":"Факторинг","startRow":0,"endRow":0}},"sources":{},"versions":[{"id":"v_mugvk5ls02v0","name":"Без исходных данных","created":"2026-09-25","year":2026,"currency":"USD","fxRate":80,"dataMode":"imported","parameters":{"payroll":{"value":3750,"method":"monthly","enabled":true,"lag":0,"cash":true,"vat":false,"rateCurrency":"USD","rateBasis":"","rateSource":"Расчётный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персонал"},"vacation":{"value":9.226190476190476,"method":"rate","enabled":true,"lag":0,"cash":false,"vat":false,"rateCurrency":"","rateBasis":"","rateSource":"Расчётный сценарий 4700134228: Исходная модель, Детальная модель!F50 · Согласованные 8% годового ФОТ/мес.; F50 = 9,22619% на другой базе"},"subcontract":{"value":0,"method":"percentRevenue","enabled":true,"lag":0,"cash":true,"vat":true,"rateCurrency":"","rateBasis":"","rateSource":"Расчётный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персонал"},"indirectVacation":{"value":9.226190476190476,"method":"rate","enabled":true,"lag":0,"cash":false,"vat":false,"rateCurrency":"","rateBasis":"","rateSource":"Расчётный сценарий 4700134228: Исходная модель, Детальная модель!F63 · Согласованные 8% годового ФОТ/мес.; F63 = 9,22619% на другой базе"},"food":{"value":16.25,"method":"day","enabled":true,"lag":0,"cash":true,"vat":true,"rateCurrency":"USD","rateBasis":"","rateSource":"Расчётный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[8880.160000000002,7032.24,10582.28,9278.360000000002,4727.799999999999,6371.719999999999,2176.54,7165.499999999999,6542.160000000001,19045.679999999997,59445.10000000001,59872.15999999999],"boqRate":[0,0,0,0,0,0,0,0,0,0,0,0],"revenue":[0,0,0,0,0,0,0,0,0,0,0,0],"otherRevenue":[0,0,0,0,0,0,0,0,0,0,0,0],"materials":[0,0,0,0,0,0,0,0,0,0,0,0],"directPeople":[0,0,0,0,0,0,0,0,0,0,0,0],"auxiliaryPeople":[0,0,0,0,0,0,0,0,0,0,0,0],"indirectPeople":[0,0,0,0,0,0,0,0,0,0,0,0],"laborIntensity":[0,0,0,0,0,0,0,0,0,0,0,0],"sourceDays":[0,0,0,0,0,0,0,0,0,0,0,0],"passivePeople":[0,0,0,0,0,0,0,0,0,0,0,0],"scaffoldPeople":[0,0,0,0,0,0,0,0,0,0,0,0],"equipmentHours":[0,0,0,0,0,0,0,0,0,0,0,0],"nrkVolume":[0,0,0,0,0,0,0,0,0,0,0,0],"payments":[0,0,0,0,0,0,0,0,0,0,0,0],"advances":[0,0,0,0,0,0,0,0,0,0,0,0],"advanceOffset":[0,0,0,0,0,0,0,0,0,0,0,0],"factoring":[0,0,0,0,0,0,0,0,0,0,0,0],"ksgRevenue":[6009188.245655865,6326310.065261915,7192962.040909068,7719049.553621543,5505821.553424569,9987823.64153884,6691447.283210083,5821714.1066337265,7166557.134399284,10354368.854407901,15683364.331498714,14091759.611429863],"ksgMaterialsRevenue":[2153783.374,1539868.2479999997,1581686.1979999999,1159164.011,604570.4280000001,765789.0929999999,395388.4235,326947.8805,475291.4724999999,749195.7699999999,1230678.6764999996,718619.413],"ks2Accepted":[831903.5372417906,5500703.147450478,6294597.88330131,7106296.843344353,7666440.802350296,5727144.353444267,9539623.432727411,7021084.919042958,5908687.424291363,7032072.831622728,10035587.68240704,15150464.783789633]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3792.62,"volumes":[321.64,58.48,104.7,190.04,66.56,40.02,13.48,286.06,892.3,549.8,1198.24,71.3],"matchRule":"exact","matchConfidence":1,"contractRate":360.398813535099,"currentRate":0,"actualRate":0,"rate":360.398813535099},{"sourceKind":"ksg","sourceRow":8,"sourceKey":"auto-d3ba77bf","workId":"","name":"Демонтаж элементов металлоконструкций","unit":"т","kq1":"","kq2":"KQ-03-01","stableKey":"auto-18aa5086","plannedQuantity":41.5,"scheduleQuantity":3.2,"volumes":[0,0,0,0,0,0.28,0,0,0.32,0,0,2.6],"matchRule":"exact","matchConfidence":1,"contractRate":4959.555693795231,"currentRate":0,"actualRate":0,"rate":4959.555693795231},{"sourceKind":"ksg","sourceRow":10,"sourceKey":"auto-1e17fbd2","workId":"","name":"Демонтаж кровельных покрытий","unit":"м2","kq1":"","kq2":"KQ-111-11","stableKey":"auto-736d9865","plannedQuantity":12891.5,"scheduleQuantity":73.64,"volumes":[0,0,0,73.64,0,0,0,0,0,0,0,0],"matchRule":"exact","matchConfidence":1,"contractRate":214.7967168924523,"currentRate":0,"actualRate":0,"rate":214.7967168924523},{"sourceKind":"ksg","sourceRow":12,"sourceKey":"auto-50b56ba7","workId":"","name":"Демонтаж легковозводимых перегородок","unit":"м2","kq1":"","kq2":"KQ-111-11","stableKey":"auto-d17fa40d","plannedQuantity":1549,"scheduleQuantity":1549,"volumes":[0,0,0,0,0,0,0,0,0,1549,0,0],"matchRule":"exact","matchConfidence":1,"contractRate":214.7967168924523,"currentRate":0,"actualRate":0,"rate":214.7967168924523},{"sourceKind":"ksg","sourceRow":13,"sourceKey":"auto-d98dc6be","workId":"","name":"Демонтаж элементов заполнения проемов зданий и сооружений","unit":"м2","kq1":"","kq2":"KQ-111-11","stableKey":"auto-9b742e9b","plannedQuantity":27.54,"scheduleQuantity":27.54,"volumes":[0,0,0,8.64,0,0,0,0,0,18.9,0,0],"matchRule":"exact","matchConfidence":1,"contractRate":214.7967168924523,"currentRate":0,"actualRate":0,"rate":214.7967168924523},{"sourceKind":"ksg","sourceRow":14,"sourceKey":"auto-eb2d111d","workId":"","name":"Демонтаж черновой отделки","unit":"м2","kq1":"","kq2":"KQ-03-08","stableKey":"auto-8868b569","plannedQuantity":1008.9,"scheduleQuantity":1008.9,"volumes":[0,0,0,0,0,0,0,0,0,1006.56,2.34,0],"matchRule":"exact","matchConfidence":1,"contractRate":123.9962934310013,"currentRate":0,"actualRate":0,"rate":123.9962934310013},{"sourceKind":"ksg","sourceRow":16,"sourceKey":"auto-b1e30d56","workId":"","name":"Демонтаж инженерного</t>
        </is>
      </c>
    </row>
    <row r="3">
      <c r="A3" t="inlineStr">
        <is>
          <t xml:space="preserve"> и технологического оборудования","unit":"т","kq1":"","kq2":"KQ-03-10","stableKey":"auto-55c90949","plannedQuantity":143.2,"scheduleQuantity":0.6,"volumes":[0,0,0,0,0,0,0,0,0,0,0,0.6],"matchRule":"exact","matchConfidence":1,"contractRate":14411.402896313515,"currentRate":0,"actualRate":0,"rate":14411.402896313515},{"sourceKind":"ksg","sourceRow":17,"sourceKey":"auto-362f0704","workId":"","name":"Демонтаж инженерных и технологических трубопроводов","unit":"м","kq1":"","kq2":"KQ-03-13","stableKey":"auto-cc0b3eae","plannedQuantity":6980.06,"scheduleQuantity":10,"volumes":[0,0,8.34,1.66,0,0,0,0,0,0,0,0],"matchRule":"exact","matchConfidence":1,"contractRate":141.14832227563883,"currentRate":0,"actualRate":0,"rate":141.14832227563883},{"sourceKind":"ksg","sourceRow":18,"sourceKey":"auto-fb844880","workId":"","name":"Демонтаж ЗРА и встраиваемых линейных элементов","unit":"шт.","kq1":"","kq2":"KQ-03-14","stableKey":"auto-f276eeb9","plannedQuantity":608,"scheduleQuantity":2,"volumes":[0,0,0,0,0,0,0,0,0,0,0,2],"matchRule":"exact","matchConfidence":1,"contractRate":120.35523838936848,"currentRate":0,"actualRate":0,"rate":120.35523838936848},{"sourceKind":"ksg","sourceRow":19,"sourceKey":"auto-25098f7e","workId":"","name":"Демонтаж отопительных приборов","unit":"шт.","kq1":"","kq2":"KQ-03-16","stableKey":"auto-0cb17892","plannedQuantity":8,"scheduleQuantity":4,"volumes":[0,0,3.34,0.66,0,0,0,0,0,0,0,0],"matchRule":"exact","matchConfidence":1,"contractRate":224.7485771415027,"currentRate":0,"actualRate":0,"rate":224.7485771415027},{"sourceKind":"ksg","sourceRow":20,"sourceKey":"auto-423c47b3","workId":"","name":"Демонтаж воздуховодов","unit":"м2","kq1":"","kq2":"KQ-03-17","stableKey":"auto-89985a66","plannedQuantity":4826,"scheduleQuantity":267.08,"volumes":[0,0,6.66,1.34,0,0,0,0,0,0,0,259.08],"matchRule":"exact","matchConfidence":1,"contractRate":23.30249216338736,"currentRate":0,"actualRate":0,"rate":23.30249216338736},{"sourceKind":"ksg","sourceRow":21,"sourceKey":"auto-f0e34c47","workId":"","name":"Демонтаж элементов воздухозабора и воздухораспредения","unit":"шт.","kq1":"","kq2":"KQ-03-18","stableKey":"auto-e1428e17","plannedQuantity":466,"scheduleQuantity":14,"volumes":[0,0,8.34,1.66,0,0,0,0,0,0,0,4],"matchRule":"exact","matchConfidence":1,"contractRate":210.81250630027313,"currentRate":0,"actualRate":0,"rate":210.81250630027313},{"sourceKind":"ksg","sourceRow":23,"sourceKey":"auto-1a39258f","workId":"","name":"Демонтаж кабелей и проводов","unit":"м","kq1":"","kq2":"KQ-03-25","stableKey":"auto-5c698f34","plannedQuantity":88228,"scheduleQuantity":9780.48,"volumes":[0,0,150,30,0,0,0,0,0,0,0,9600.48],"matchRule":"exact","matchConfidence":1,"contractRate":13.44387804297205,"currentRate":0,"actualRate":0,"rate":13.44387804297205},{"sourceKind":"ksg","sourceRow":24,"sourceKey":"auto-c1b21b42","workId":"","name":"Демонтаж электроустановочных изделий и компонентов КИПиА и слаботочных систем","unit":"шт.","kq1":"","kq2":"KQ-03-26","stableKey":"auto-eded81fa","plannedQuantity":88,"scheduleQuantity":10,"volumes":[0,0,8.34,1.66,0,0,0,0,0,0,0,0],"matchRule":"exact","matchConfidence":1,"contractRate":216.78976297059668,"currentRate":0,"actualRate":0,"rate":216.78976297059668},{"sourceKind":"ksg","sourceRow":25,"sourceKey":"auto-6f5b857a","workId":"","name":"Демонтаж изоляции","unit":"м2","kq1":"","kq2":"KQ-03-27","stableKey":"auto-443435c5","plannedQuantity":148.62,"scheduleQuantity":0.62,"volumes":[0,0,0.52,0.1,0,0,0,0,0,0,0,0],"matchRule":"exact","matchConfidence":1,"contractRate":127.21945755435625,"currentRate":0,"actualRate":0,"rate":127.21945755435625},{"sourceKind":"ksg","sourceRow":26,"sourceKey":"auto-cdb6cb8d","workId":"","name":"Расчистка и планировка площадки строительства","unit":"м2","kq1":"","kq2":"KQ-05-01","stableKey":"auto-342c9105","plannedQuantity":6892,"scheduleQuantity":6892,"volumes":[0,0,0,0,0,0,0,0,0,0,6892,0],"matchRule":"exact","matchConfidence":1,"contractRate":15.751339785853075,"currentRate":0,"actualRate":0,"rate":15.751339785853075},{"sourceKind":"ksg","sourceRow":28,"sourceKey":"auto-5c9fd88a","workId":"","name":"Разработка грунта с погрузкой","unit":"м3","kq1":"","kq2":"KQ-09-01","stableKey":"auto-5cca581c","plannedQuantity":22322.76,"scheduleQuantity":18768.460000000003,"volumes":[4881.74,4655.58,4220.68,1229.2,184.08,232.12,127.52,238.48,266.7,492.14,2240.22,0],"matchRule":"exact","matchConfidence":1,"contractRate":165.43106173163682,"currentRate":0,"actualRate":0,"rate":165.43106173163682},{"sourceKind":"ksg","sourceRow":29,"sourceKey":"auto-eb2f3763","workId":"","name":"Шпунтовое ограждение котлованов и траншей","unit":"т","kq1":"","kq2":"KQ-09-02","stableKey":"auto-79d57782","plannedQuantity":225.8,"scheduleQuantity":225.8,"volumes":[225.8,0,0,0,0,0,0,0,0,0,0,0],"matchRule":"exact","matchConfidence":1,"contractRate":2092.9053417709124,"currentRate":0,"actualRate":0,"rate":2092.9053417709124},{"sourceKind":"ksg","sourceRow":30,"sourceKey":"auto-711cd4a3","workId":"","name":"Обратная засыпка грунта с уплотнением","unit":"м3","kq1":"","kq2":"KQ-10-01","stableKey":"auto-e7274e25","plannedQuantity":18907.36,"scheduleQuantity":18073.14,"volumes":[1896.04,1229.8,5047.82,5258.98,992.74,234.26,54.02,369.14,241.28,668.64,2080.42,0],"matchRule":"exact","matchConfidence":1,"contractRate":137.08336598764066,"currentRate":0,"actualRate":0,"rate":137.08336598764066},{"sourceKind":"ksg","sourceRow":31,"sourceKey":"auto-261e11f2","workId":"","name":"Устройство подбетонки","unit":"м3","kq1":"","kq2":"KQ-12-01","stableKey":"auto-12587403","plannedQuantity":665.3,"scheduleQuantity":628.64,"volumes":[169.54,20.5,93.06,101.22,121.76,8.64,15.7,4.88,1.54,48.88,42.92,0],"matchRule":"exact","matchConfidence":1,"contractRate":667.3760717519363,"currentRate":0,"actualRate":0,"rate":667.3760717519363},{"sourceKind":"ksg","sourceRow":32,"sourceKey":"auto-c328a90f","workId":"","name":"Устройство монолитных конструкций ниже 0 (за исключением колодцев)","unit":"м3","kq1":"","kq2":"KQ-12-02","stableKey":"auto-53e20f97","plannedQuantity":3796.78,"scheduleQuantity":3623.9600000000005,"volumes":[1320.7,621.58,426.54,352.66,155.08,236.34,179.84,31.62,11.3,49.48,196.5,42.32],"matchRule":"exact","matchConfidence":1,"contractRate":2287.940073339134,"currentRate":0,"actualRate":0,"rate":2287.940073339134},{"sourceKind":"ksg","sourceRow":33,"sourceKey":"auto-31c62935","workId":"","name":"Утепление строительных конструкций ниже 0","unit":"м3","kq1":"","kq2":"KQ-12-03","stableKey":"auto-02074cc8","plannedQuantity":48.14,"scheduleQuantity":41.98,"volumes":[0,0,0,0,0,0,0,12.2,21.12,4.84,3.82,0],"matchRule":"exact","matchConfidence":1,"contractRate":964.6744417641229,"currentRate":0,"actualRate":0,"rate":964.6744417641229},{"sourceKind":"ksg","sourceRow":34,"sourceKey":"auto-0c3bce1f","workId":"","name":"Устройство монолитных конструкций выше 0","unit":"м3","kq1":"","kq2":"KQ-13-01","stableKey":"auto-e2614a75","plannedQuantity":2037.08,"scheduleQuantity":2017.4600000000003,"volumes":[64.7,446.3,491.18,298.14,30.62,399.16,4.76,0.16,188.64,74.54,17.26,2],"matchRule":"exact","matchConfidence":1,"contractRate":6508.426604401696,"currentRate":0,"actualRate":0,"rate":6508.426604401696},{"sourceKind":"ksg","sourceRow":36,"sourceKey":"auto-3a699703","workId":"","name":"Устройство безусадочной подливки","unit":"м3","kq1":"","kq2":"KQ-16-01","stableKey":"auto-f7db543f","plannedQuantity":259.16,"scheduleQuantity":153.34,"volumes":[0,0,0,0,0.36,0,0,20.82,38.9,24.98,33.66,34.62],"matchRule":"exact","matchConfidence":1,"contractRate":8909.408241974581,"currentRate":0,"actualRate":0,"rate":8909.408241974581},{"sourceKind":"ksg","sourceRow":37,"sourceKey":"auto-b63b73f2","workId":"","name":"Устройство монолитных колодцев","unit":"м3","kq1":"","kq2":"KQ-18-02","stableKey":"auto-a62a1299","plannedQuantity":8.74,"scheduleQuantity":8.32,"volumes":[0,0,0,0,0.6,0,0,1.44,1.9,0,4.38,0],"matchRule":"exact","matchConfidence":1,"contractRate":3672.093020927322,"currentRate":0,"actualRate":0,"rate":3672.093020927322},{"sourceKind":"ksg","sourceRow":40,"sourceKey":"auto-aadbfc22","workId":"","name":"Устройство открытого подземного перехода (футляра)","unit":"м","kq1":"","kq2":"KQ-20-02","stableKey":"auto-234979cf","plannedQuantity":10.2,"scheduleQuantity":10.2,"volumes":[0,0,0,0,0,0,0,0,0,10.2,0,0],"matchRule":"exact","matchConfidence":1,"contractRate":1366.5650051137702,"currentRate":0,"actualRate":0,"rate":1366.5650051137702},{"sourceKind":"ksg","sourceRow":41,"sourceKey":"auto-0bf6a858","workId":"","name":"Протаскивание труб в футляр","unit":"м","kq1":"","kq2":"KQ-20-03","stableKey":"auto-a278e614","plannedQuantity":10.2,"scheduleQuantity":10.2,"volumes":[0,0,0,0,0,0,0,0,0,10.2,0,0],"matchRule":"exact","matchConfidence":1,"contractRate":253.56588262631885,"currentRate":0,"actualRate":0,"rate":253.56588262631885},{"sourceKind":"ksg","sourceRow":42,"sourceKey":"auto-c7ed0d14","workId":"","name":"Монтаж основных металлоконструкций зданий","unit":"т","kq1":"","kq2":"KQ-22-01","stableKey":"auto-27d04a17","plannedQuantity":3.72,"scheduleQuantity":3.72,"volumes":[0,0,0,0,0,0,0,0,0,0,0,3.72],"matchRule":"exact","matchConfidence":1,"contractRate":5322.63230331369,"currentRate":0,"actualRate":0,"rate":5322.63230331369},{"sourceKind":"ksg","sourceRow":43,"sourceKey":"auto-e77919d4","workId":"","name":"Монтаж основных металлоконструкций этажерок и структур","unit":"т","kq1":"","kq2":"KQ-22-02","stableKey":"auto-6c8b96f6","plannedQuantity":1757.16,"scheduleQuantity":1505.3,"volumes":[0,0,10.62,115.54,115.04,290.64,272,157.8,121.32,121.06,191.52,109.76],"matchRule":"exact","matchConfidence":1,"contractRate":5954.9924785855455,"currentRate":0,"actualRate":0,"rate":5954.9924785855455},{"sourceKind":"ksg","sourceRow":44,"sourceKey":"auto-3de79f0f","workId":"","name":"Монтаж основных металлоконструкций эстакад","unit":"т","kq1":"","kq2":"KQ-22-03","stableKey":"auto-718e5d8c","plannedQuantity":79.16,"scheduleQuantity":71.6,"volumes":[0,0,0,0,0,0,0,69.22,2.38,0,0,0],"matchRule":"exact","matchConfidence":1,"contractRate":7059.054751229442,"currentRate":0,"actualRate":0,"rate":7059.054751229442},{"sourceKind":"ksg","sourceRow":45,"sourceKey":"auto-6f174092","workId":"","name":"Монтаж второстепенных металлоконструкций","unit":"т","kq1":"","kq2":"KQ-23-01","stableKey":"auto-28b5b412","plannedQuantity":510.02,"scheduleQuantity":399.56,"volumes":[0,0,2.14,11.92,5.12,68.88,74.54,96.74,79.22,28.14,18.08,14.78],"matchRule":"exact","matchConfidence":1,"contractRate":12130.175427305585,"currentRate":0,"actualRate":0,"rate":12130.175427305585},{"sourceKind":"ksg","sourceRow":47,"sourceKey":"auto-8b6d1f60","workId":"","name":"Монтаж решетчатого настила","unit":"м2","kq1":"","kq2":"KQ-24-01","stableKey":"auto-8e2cdbdf","plannedQuantity":576.46,"scheduleQuantity":371.5,"volumes":[0,0,0,0,0,0,0,0,0,0,364.78,6.72],"matchRule":"exact","matchConfidence":1,"contractRate":259.3611160029091,"currentRate":0,"actualRate":0,"rate":259.3611160029091},{"sourceKind":"ksg","sourceRow":48,"sourceKey":"auto-a61bc320","workId":"","name":"Монтаж стеновых сэндвич панелей","unit":"м2","kq1":"","kq2":"KQ-25-01","stableKey":"auto-06aa4a3e","plannedQuantity":5090.8,"scheduleQuantity":3935.86,"volumes":[0,0,0,0,0,0,0,0,0,3615.92,319.94,0],"matchRule":"exact","matchConfidence":1,"contractRate":636.1886010254491,"currentRate":0,"actualRate":0,"rate":636.1886010254491},{"sourceKind":"ksg","sourceRow":50,"sourceKey":"auto-eaf48c8d","workId":"","name":"HeavyLift блочных и комплектных установок","unit":"т","kq1":"","kq2":"KQ-26-01","stableKey":"auto-20de318e","plannedQuantity":221.8,"scheduleQuantity":221.8,"volumes":[0,0,0,221.8,0,0,0,0,0,0,0,0],"matchRule":"exact","matchConfidence":1,"contractRate":5398.751748663549,"currentRate":0,"actualRate":0,"rate":5398.751748663549},{"sourceKind":"ksg","sourceRow":51,"sourceKey":"auto-c59b8407","workId":"","name":"Монтаж статического колонного и емкостного оборудования","unit":"т","kq1":"","kq2":"KQ-27-02","stableKey":"auto-598d25d1","plannedQuantity":266.16,"scheduleQuantity":246.68,"volumes":[0,0,0,44.28,37.62,102.56,40.16,19.3,2.28,0.48,0,0],"matchRule":"exact","matchConfidence":1,"contractRate":2916.338281208439,"currentRate":0,"actualRate":0,"rate":2916.338281208439},{"sourceKind":"ksg","sourceRow":52,"sourceKey":"auto-a64573a2","workId":"","name":"Монтаж динамического колонного и емкостного оборудования","unit":"т","kq1":"","kq2":"KQ-27-03","stableKey":"auto-cf3b42c6","plannedQuantity":26.22,"scheduleQuantity":24.72,"volumes":[0,0,0,21.8,0,0,0,2.92,0,0,0,0],"matchRule":"exact","matchConfidence":1,"contractRate":1171.2817703858193,"currentRate":0,"actualRate":0,"rate":1171.2817703858193},{"sourceKind":"ksg","sourceRow":53,"sourceKey":"auto-14c90564","workId":"","name":"Монтаж теплообменников, холодильников и пароводяных подогревателей","unit":"т","kq1":"","kq2":"KQ-27-04","stableKey":"auto-689d51cd","plannedQuantity":95.48,"scheduleQuantity":95.47999999999999,"volumes":[0,0,0,0,0,39.96,27.36,6.58,19.62,1.96,0,0],"matchRule":"exact","matchConfidence":1,"contractRate":4905.320131165876,"currentRate":0,"actualRate":0,"rate":4905.320131165876},{"sourceKind":"ksg","sourceRow":54,"sourceKey":"auto-91a3a268","workId":"","name":"Монтаж блочных и комплектных установок","unit":"т","kq1":"","kq2":"KQ-27-05","stableKey":"auto-fec7646a","plannedQuantity":1199.8,"scheduleQuantity":880.72,"volumes":[0,0,0,0,0,66.42,198.12,32.02,310.54,10.78,105.5,157.34],"matchRule":"exact","matchConfidence":1,"contractRate":7299.9714780561835,"currentRate":0,"actualRate":0,"rate":7299.9714780561835},{"sourceKind":"ksg","sourceRow":57,"sourceKey":"auto-01aa5cee","workId":"","name":"Монтаж насосов","unit":"т","kq1":"","kq2":"KQ-27-13","stableKey":"auto-69e24529","plannedQuantity":102.02,"scheduleQuantity":94.88,"volumes":[0,0,0,0,0,22.8,0,10.18,0,3.8,11.68,46.42],"matchRule":"exact","matchConfidence":1,"contractRate":9798.447916736199,"currentRate":0,"actualRate":0,"rate":9798.447916736199},{"sourceKind":"ksg","sourceRow":58,"sourceKey":"auto-63322ab7","workId":"","name":"Монтаж механических фильтров и циклонов","unit":"т","kq1":"","kq2":"KQ-27-14","stableKey":"auto-8c113199","plannedQuantity":29.98,"scheduleQuantity":29.98,"volumes":[0,0,0,5.68,0,2.28,20.68,1.34,0,0,0,0],"matchRule":"exact","matchConfidence":1,"contractRate":5435.823517622587,"currentRate":0,"actualRate":0,"rate":5435.823517622587},{"sourceKind":"ksg","sourceRow":59,"sourceKey":"auto-a6452dfd","workId":"","name":"Монтаж ВКУ технологического оборудования","unit":"т","kq1":"","kq2":"KQ-27-19","stableKey":"auto-ad0edfca","plannedQuantity":6.84,"scheduleQuantity":3.64,"volumes":[0,0,0,0,0,0,0,0,0,3.64,0,0],"matchRule":"exact","matchConfidence":1,"contractRate":29864.946689120345,"currentRate":0,"actualRate":0,"rate":29864.946689120345},{"sourceKind":"ksg","sourceRow":62,"sourceKey":"auto-cf93248b","workId":"","name":"Сварка технологических трубопроводов (черн. стали)","unit":"DI","kq1":"","kq2":"KQ-32-01","stableKey":"auto-c10d2dae","plannedQuantity":67996.62,"scheduleQuantity":7437.24,"volumes":[0,0,0,0,0,0,0,0,123.02,631.62,1204.94,5477.66],"matchRule":"exact","matchConfidence":1,"contractRate":316.47347638580953,"currentRate":0,"actualRate":0,"rate":316.47347638580953},{"sourceKind":"ksg","sourceRow":63,"sourceKey":"auto-da20e48a","workId":"","name":"Монтаж технологических трубопроводов обвязки этажерок и структур (стальные)","unit":"м","kq1":"","kq2":"KQ-33-01","stableKey":"auto-a0558f66","plannedQuantity":65990.8,"scheduleQuantity":8861.88,"volumes":[0,0,0,0,0,0,0,0,0,943.04,3910.86,4007.98],"matchRule":"exact","matchConfidence":1,"contractRate":723.0802245228149,"currentRate":0,"actualRate":0,"rate":723.0802245228149},{"sourceKind":"ksg","sourceRow":64,"sourceKey":"auto-94948d9f","workId":"","name":"Монтаж опор технологических трубопроводов","unit":"т","kq1":"","kq2":"KQ-33-06","stableKey":"auto-bb932eb4","plannedQuantity":115.66,"scheduleQuantity":0.14,"volumes":[0,0,0,0,0,0,0,0,0,0.14,0,0],"matchRule":"exact","matchConfidence":1,"contractRate":40681.88253197282,"currentRate":0,"actualRate":0,"rate":40681.88253197282},{"sourceKind":"ksg","sourceRow":71,"sourceKey":"auto-fae08ea1","workId":"","name":"Монтаж стальных трубопроводов теплых полов технологических зон","unit":"м","kq1":"","kq2":"KQ-34-03","stableKey":"auto-98d8e61d","plannedQuantity":10318.4,"scheduleQuantity":8149.96,"volumes":[0,0,0,0,0,0,0,3516.48,2585.4,1344,704.08,0],"matchRule":"exact","matchConfidence":1,"contractRate":217.83150074132828,"currentRate":0,"actualRate":0,"rate":217.83150074132828},{"sourceKind":"ksg","sourceRow":72,"sourceKey":"auto-2e4f2433","workId":"","name":"Неразрушающий контроль стыков (РК)","unit":"стык","kq1":"","kq2":"KQ-35-01","stableKey":"auto-cb8b6838","plannedQuantity":111243.4,"scheduleQuantity":13677.32,"volumes":[0,0,0,0,0,0,0,0,0,0,8753.98,4923.34],"matchRule":"exact","matchConfidence":1,"contractRate":187.31322759344675,"currentRate":0,"actualRate":0,"rate":187.31322759344675},{"sourceKind":"ksg","sourceRow":75,"sourceKey":"auto-d3f7d420","workId":"","name":"ОГЗ металлоконструкций (окрасочная)","unit":"м2","kq1":"","kq2":"KQ-37-02","stableKey":"auto-c2d1f0b8","plannedQuantity":10379.88,"scheduleQuantity":9329.9,"volumes":[0,0,0,1099.96,3000.24,4601.38,628.32,0,0,0,0,0],"matchRule":"exact","matchConfidence":1,"contractRate":836.4704645800064,"currentRate":0,"actualRate":0,"rate":836.4704645800064},{"sourceKind":"ksg","sourceRow":76,"sourceKey":"auto-fde84ba4","workId":"","name":"АКЗ трубопроводов","unit":"м2","kq1":"","kq2":"KQ-38-02","stableKey":"auto-e963e9db","plannedQuantity":20096.78,"scheduleQuantity":1708.56,"volumes":[0,0,0,0,0,0,0,623.36,767.28,317.92,0,0],"matchRule":"exact","matchConfidence":1,"contractRate":205.72212936717014,"currentRate":0,"actualRate":0,"rate":205.72212936717014},{"sourceKind":"ksg","sourceRow":77,"sourceKey":"auto-f0b0daec","workId":"","name":"АКЗ металлоконструкций","unit":"м2","kq1":"","kq2":"KQ-38-03","stableKey":"auto-a93205de","plannedQuantity":15100.54,"scheduleQuantity":1068.34,"volumes":[0,0,0,0,0,0,0,5.8,0,0,1062.54,0],"matchRule":"exact","matchConfidence":1,"contractRate":431.50828943570804,"currentRate":0,"actualRate":0,"rate":431.50828943570804},{"sourceKind":"ksg","sourceRow":88,"sourceKey":"auto-6fc8133d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3.78,"volumes":[0,0,0,0,0,0,0,0,0,0,0,3.78],"matchRule":"exact","matchConfidence":1,"contractRate":18536.399185027512,"currentRate":0,"actualRate":0,"rate":18536.399185027512},{"sourceKind":"ksg","sourceRow":89,"sourceKey":"auto-62e99016","workId":"","name":"Монтаж кабельных лотков","unit":"м","kq1":"","kq2":"KQ-45-01","stableKey":"auto-0d268162","plannedQuantity":60046.02,"scheduleQuantity":10551.32,"volumes":[0,0,0,0,0,0,0,0,0,2012.04,3117.82,5421.46],"matchRule":"exact","matchConfidence":1,"contractRate":170.30311518858326,"currentRate":0,"actualRate":0,"rate":170.30311518858326},{"sourceKind":"ksg","sourceRow":93,"sourceKey":"auto-c0af49fe","workId":"","name":"Монтаж металлорукавов","unit":"м","kq1":"","kq2":"KQ-46-02","stableKey":"auto-17426b35","plannedQuantity":33687.72,"scheduleQuantity":324.21999999999997,"volumes":[0,0,0,0,0,0,0,0,0,0,108.08,216.14],"matchRule":"exact","matchConfidence":1,"contractRate":30.660274124178198,"currentRate":0,"actualRate":0,"rate":30.660274124178198},{"sourceKind":"ksg","sourceRow":95,"sourceKey":"auto-6307265d","workId":"","name":"Монтаж кабеля КИПиА","unit":"м","kq1":"","kq2":"KQ-48-01","stableKey":"auto-4f691479","plannedQuantity":632758,"scheduleQuantity":14693.96,"volumes":[0,0,0,0,0,0,0,0,0,0,50,14643.96],"matchRule":"exact","matchConfidence":1,"contractRate":30.27664999051171,"currentRate":0,"actualRate":0,"rate":30.27664999051171},{"sourceKind":"ksg","sourceRow":98,"sourceKey":"auto-7093b9e4","workId":"","name":"Расключение кабеля КИПиА","unit":"шт. (конец кабеля)","kq1":"","kq2":"KQ-48-04","stableKey":"auto-1b7e2a92","plannedQuantity":18416,"scheduleQuantity":409.7,"volumes":[0,0,0,0,0,0,0,0,0,0,20,389.7],"matchRule":"exact","matchConfidence":1,"contractRate":283.470095667944,"currentRate":0,"actualRate":0,"rate":283.470095667944},{"sourceKind":"ksg","sourceRow":100,"sourceKey":"auto-d1fe45b2","workId":"","name":"Монтаж силового кабеля до 1 кВ","unit":"м","kq1":"","kq2":"KQ-49-01","stableKey":"auto-f9b1607d","plannedQuantity":195684.6,"scheduleQuantity":26674.199999999997,"volumes":[0,0,0,0,0,0,0,0,0,58.02,13954.22,12661.96],"matchRule":"exact","matchConfidence":1,"contractRate":27.767371100723437,"currentRate":0,"actualRate":0,"rate":27.767371100723437},{"sourceKind":"ksg","sourceRow":102,"sourceKey":"auto-622f5568","workId":"","name":"Расключение силового кабеля до 1 кВ","unit":"шт. (конец кабеля)","kq1":"","kq2":"KQ-49-04","stableKey":"auto-01e1e89c","plannedQuantity":18180,"scheduleQuantity":6.12,"volumes":[0,0,0,0,0,0,0,0,0,0,0,6.12],"matchRule":"exact","matchConfidence":1,"contractRate":123.43750676957525,"currentRate":0,"actualRate":0,"rate":123.43750676957525},{"sourceKind":"ksg","sourceRow":106,"sourceKey":"auto-22116b12","workId":"","name":"Монтаж проводника заземления (провод)","unit":"м","kq1":"","kq2":"KQ-51-01","stableKey":"auto-7b0989df","plannedQuantity":14835.7,"scheduleQuantity":204,"volumes":[0,0,0,0,0,0,0,0,0,0,89.94,114.06],"matchRule":"exact","matchConfidence":1,"contractRate":67.79404878786701,"currentRate":0,"actualRate":0,"rate":67.79404878786701},{"sourceKind":"ksg","sourceRow":107,"sourceKey":"auto-21f25120","workId":"","name":"Монтаж проводника заземления (полоса)","unit":"м","kq1":"","kq2":"KQ-51-02","stableKey":"auto-40ad0cba","plannedQuantity":6953.36,"scheduleQuantity":3374.94,"volumes":[0,0,0,200,0,0,424.02,1545.28,491.84,158,348.7,207.1],"matchRule":"exact","matchConfidence":1,"contractRate":24.233211730751655,"currentRate":0,"actualRate":0,"rate":24.233211730751655},{"sourceKind":"ksg","sourceRow":112,"sourceKey":"auto-0b42709c","workId":"","name":"Монтаж малых силовых шкафов","unit":"шт.","kq1":"","kq2":"KQ-57-01","stableKey":"auto-0b81602b","plannedQuantity":174,"scheduleQuantity":2,"volumes":[0,0,0,0,0,0,0,0,0,2,0,0],"matchRule":"exact","matchConfidence":1,"contractRate":338.3121241996865,"currentRate":0,"actualRate":0,"rate":338.3121241996865},{"sourceKind":"ksg","sourceRow":114,"sourceKey":"auto-12919134","workId":"","name":"Монтаж щитового оборудования РУ, ВРУ","unit":"шт.","kq1":"","kq2":"KQ-57-03","stableKey":"auto-3260498c","plannedQuantity":120,"scheduleQuantity":13.34,"volumes":[0,0,0,0,0,0,0,0,0,0,0,13.34],"matchRule":"exact","matchConfidence":1,"contractRate":3610.688456336083,"currentRate":0,"actualRate":0,"rate":3610.688456336083},{"sourceKind":"ksg","sourceRow":115,"sourceKey":"auto-11cbc547","workId":"","name":"Монтаж щитового оборудования КИПиА","unit":"шт.","kq1":"","kq2":"KQ-58-01","stableKey":"auto-277dc6cc","plannedQuantity":232,"scheduleQuantity":22,"volumes":[0,0,0,0,0,0,0,0,0,0,0,22],"matchRule":"exact","matchConfidence":1,"contractRate":3198.7201830223016,"currentRate":0,"actualRate":0,"rate":3198.7201830223016},{"sourceKind":"ksg","sourceRow":118,"sourceKey":"auto-20c6d5c0","workId":"","name":"Монтаж оконечных и распределительных устройств слаботочных сетей","unit":"шт.","kq1":"","kq2":"KQ-59-02","stableKey":"auto-59e7d61e","plannedQuantity":1202,"scheduleQuantity":1.94,"volumes":[0,0,0,0,0,0,0,0,0,0,0,1.94],"matchRule":"exact","matchConfidence":1,"contractRate":126.98430955743038,"currentRate":0,"actualRate":0,"rate":126.98430955743038},{"sourceKind":"ksg","sourceRow":119,"sourceKey":"auto-b67c0b20","workId":"","name":"Монтаж приборов КИПиА","unit":"шт.","kq1":"","kq2":"KQ-60-01","stableKey":"auto-1a3aa973","plannedQuantity":2240,"scheduleQuantity":12,"volumes":[0,0,0,0,0,0,0,0,0,0,4,8],"matchRule":"exact","matchConfidence":1,"contractRate":678.8017962028557,"currentRate":0,"actualRate":0,"rate":678.8017962028557},{"sourceKind":"ksg","sourceRow":127,"sourceKey":"auto-2e4b4108","workId":"","name":"Монтаж воздуховодов","unit":"м2","kq1":"","kq2":"KQ-62-01","stableKey":"auto-fd0fd071","plannedQuantity":6386.64,"scheduleQuantity":68.08,"volumes":[0,0,0,0,0,0,0,0,0,0,0,68.08],"matchRule":"exact","matchConfidence":1,"contractRate":250.8522693300239,"currentRate":0,"actualRate":0,"rate":250.8522693300239},{"sourceKind":"ksg","sourceRow":128,"sourceKey":"auto-07b33e4e","workId":"","name":"Монтаж вентиляционных клапанов и заслонок","unit":"шт.","kq1":"","kq2":"KQ-62-02","stableKey":"auto-f7115d1e","plannedQuantity":390,"scheduleQuantity":2,"volumes":[0,0,0,0,0,0,0,0,0,0,0,2],"matchRule":"exact","matchConfidence":1,"contractRate":224.29123275843202,"currentRate":0,"actualRate":0,"rate":224.29123275843202},{"sourceKind":"ksg","sourceRow":134,"sourceKey":"auto-6e880ffc","workId":"","name":"Монтаж пластиковых трубопроводов внутренних инженерных сетей","unit":"м","kq1":"","kq2":"KQ-64-01","stableKey":"auto-1ebc70e3","plannedQuantity":242.18,"scheduleQuantity":84,"volumes":[0,0,0,0,0,0,0,0,0,84,0,0],"matchRule":"exact","matchConfidence":1,"contractRate":241.86521076828024,"currentRate":0,"actualRate":0,"rate":241.86521076828024},{"sourceKind":"ksg","sourceRow":155,"sourceKey":"auto-37e66121","workId":"","name":"Кладка стен и перегородок","unit":"м3","kq1":"","kq2":"KQ-69-01","stableKey":"auto-929bba11","plannedQuantity":451.08,"scheduleQuantity":451.06,"volumes":[0,0,0,0,17.98,25.98,96.02,113.32,174.84,7.32,3.54,12.06],"matchRule":"exact","matchConfidence":1,"contractRate":1187.8688605859122,"currentRate":0,"actualRate":0,"rate":1187.8688605859122},{"sourceKind":"ksg","sourceRow":156,"sourceKey":"auto-4ebac79f","workId":"","name":"Отделка стен","unit":"м2","kq1":"","kq2":"KQ-69-02","stableKey":"auto-d42fdda0","plannedQuantity":3653,"scheduleQuantity":333.98,"volumes":[0,0,0,0,0,0,0,0,0,0,0,333.98],"matchRule":"exact","matchConfidence":1,"contractRate":276.1001359976449,"currentRate":0,"actualRate":0,"rate":276.1001359976449},{"sourceKind":"ksg","sourceRow":157,"sourceKey":"auto-b484d088","workId":"","name":"Устройство полов","unit":"м2","kq1":"","kq2":"KQ-69-03","stableKey":"auto-1880c90c","plannedQuantity":5213.94,"scheduleQuantity":3653.68,"volumes":[0,0,0,7.78,0,0,0,0,200.42,1852.96,1057.46,535.06],"matchRule":"exact","matchConfidence":1,"contractRate":1826.46258370269,"currentRate":0,"actualRate":0,"rate":1826.46258370269},{"sourceKind":"ksg","sourceRow":162,"sourceKey":"auto-afc1b623","workId":"","name":"Укладка геоматериалов","unit":"м2","kq1":"","kq2":"KQ-71-01","stableKey":"auto-42cb0c23","plannedQuantity":11122.2,"scheduleQuantity":10997.720000000001,"volumes":[0,0,0,0,0,0,0,0,0,2584.1,8413.62,0],"matchRule":"exact","matchConfidence":1,"contractRate":19.30843262215975,"currentRate":0,"actualRate":0,"rate":19.30843262215975},{"sourceKind":"ksg","sourceRow":163,"sourceKey":"auto-da8b7338","workId":"","name":"Устройство щебеночных оснований и покрытий","unit":"м3","kq1":"","kq2":"KQ-71-02","stableKey":"auto-2af92db9","plannedQuantity":2349.92,"scheduleQuantity":2326.66,"volumes":[0,0,0,0,0,0,0,0.36,0,546.86,1779.44,0],"matchRule":"exact","matchConfidence":1,"contractRate":166.77422536084194,"currentRate":0,"actualRate":0,"rate":166.77422536084194},{"sourceKind":"ksg","sourceRow":164,"sourceKey":"auto-ba92fa9b","workId":"","name":"Устройство бетонных покрытий","unit":"м3","kq1":"","kq2":"KQ-71-03","stableKey":"auto-3d9d5109","plannedQuantity":2129.8,"scheduleQuantity":1793.04,"volumes":[0,0,0,0,0,0,0,0,0,209.72,1138.62,444.7],"matchRule":"exact","matchConfidence":1,"contractRate":2709.3377930190486,"currentRate":0,"actualRate":0,"rate":2709.3377930190486}],"sourceFile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workSourceMeta":{"blockers":[],"loading":false,"error":null,"currency":"USD"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resourceSources":{},"receiptSource":"Платежи H (без НДС) + Факторинг R (без НДС), Авансы H, зачёты Первичка AD","boqFile":"data/contractors/derived-4700134228/sources/boq.xlsx","ksgFile":"data/contractors/derived-4700134228/sources/ksg.xlsx","boqRows":888,"kq2Rows":146,"ksgRows":72,"matchedRows":72,"unmatchedRows":0,"ignoredRows":10,"boqCost":255840353.09750876,"scheduledCost":96377429.63794604,"contractQuantity":1333633.7165260015,"scheduledQuantity":201119.70000000004,"loadedAt":"2026-09-25T12:39:43.575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</t>
        </is>
      </c>
    </row>
    <row r="4">
      <c r="A4" t="inlineStr">
        <is>
          <t xml:space="preserve">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7437.24,"scheduledCost":2353689.197515598,"quantityVariance":-136965.41399999993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8861.88,"scheduledCost":6407850.180094242,"quantityVariance":-45237.31200000029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2017.4600000000003,"scheduledCost":13130490.337316247,"quantityVariance":-601.4399999999998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14693.96,"scheduledCost":444883.8838945794,"quantityVariance":-435154.04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10551.32,"scheduledCost":1796922.6653516022,"quantityVariance":-47911.55199999999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3623.9600000000005,"scheduledCost":8291403.308178089,"quantityVariance":67.01999999999998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409.7,"scheduledCost":116137.69819515666,"quantityVariance":-24330.3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1505.3,"scheduledCost":8964050.178014822,"quantityVariance":435.72235399999977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880.72,"scheduledCost":6429230.880153642,"quantityVariance":208.56000000000006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71.6,"scheduledCost":505428.32018802804,"quantityVariance":-565.14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26674.199999999997,"scheduledCost":740672.410214917,"quantityVariance":-128872.40000000004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399.56,"scheduledCost":4846732.8937342195,"quantityVariance":68.88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1068.34,"scheduledCost":460997.56593574426,"quantityVariance":-7794.82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18768.460000000003,"scheduledCost":3104886.264867757,"quantityVariance":-3397.66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1793.04,"scheduledCost":4857951.036394875,"quantityVariance":571.8599999999999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3935.86,"scheduledCost":2503949.267232024,"quantityVariance":-1087.3200000000002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1708.56,"scheduledCost":351488.6013515722,"quantityVariance":-13451.899999999769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18073.14,"scheduledCost":2477526.865165868,"quantityVariance":-69.86000000000058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13677.32,"scheduledCost":2561942.954028401,"quantityVariance":1023.7199999990971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6.12,"scheduledCost":755.4375414298006,"quantityVariance":-14148.68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0.14,"scheduledCost":5695.463554476195,"quantityVariance":-36.90088000000074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8149.96,"scheduledCost":1775318.017781796,"quantityVariance":1429.96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371.5,"scheduledCost":96352.65459508073,"quantityVariance":-4523.1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12,"scheduledCost":8145.621554434269,"quantityVariance":-1834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153.34,"scheduledCost":1366168.6598243823,"quantityVariance":31.04000000000002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246.68,"scheduledCost":719402.3272084978,"quantityVariance":-45.69999999999993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22,"scheduledCost":70371.84402649064,"quantityVariance":-244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333.98,"scheduledCost":92211.92342049345,"quantityVariance":-2472.24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3653.68,"scheduledCost":6673309.812822844,"quantityVariance":3248.8399999999997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94.88,"scheduledCost":929676.7383399305,"quantityVariance":28.279999999999987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9780.48,"scheduledCost":131487.58032172726,"quantityVariance":-36923.520000000004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0,"scheduledCost":0,"quantityVariance":-4633,"scheduleRows":0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2326.66,"scheduledCost":388026.9191780565,"quantityVariance":-1062.4800000000005,"scheduleRows":1},{"code":"KQ-71-05","name":"Устройство покрытий из сборных ж/б плит, м2","unit":"ед.","quantity":4078.368,"labo</t>
        </is>
      </c>
    </row>
    <row r="5">
      <c r="A5" t="inlineStr">
        <is>
          <t xml:space="preserve">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451.06,"scheduledCost":535800.1282558816,"quantityVariance":18.25999999999999,"scheduleRows":1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10,"scheduledCost":1411.4832227563884,"quantityVariance":-3605.8999999999996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3792.62,"scheduledCost":1366855.7481894873,"quantityVariance":2514.672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13.34,"scheduledCost":48166.58400752335,"quantityVariance":-98.66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628.64,"scheduledCost":419539.2937461372,"quantityVariance":106.09999999999991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8.32,"scheduledCost":30551.81393411532,"quantityVariance":-77.63999999999999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225.8,"scheduledCost":472578.02617187204,"quantityVariance":82.20000000000002,"scheduleRows":1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95.47999999999999,"scheduledCost":468359.9661237178,"quantityVariance":34.25999999999999,"scheduleRows":1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204,"scheduledCost":13829.98595272487,"quantityVariance":-4148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3.72,"scheduledCost":19800.192168326925,"quantityVariance":-50.519999999999996,"scheduleRows":1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324.21999999999997,"scheduledCost":9940.674076541054,"quantityVariance":-6885.78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68.08,"scheduledCost":17078.022495988025,"quantityVariance":-729.56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29.98,"scheduledCost":162965.98905832515,"quantityVariance":-4.934000000000001,"scheduleRows":1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0.6,"scheduledCost":8646.841737788109,"quantityVariance":-11.940000000000001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1008.9,"scheduledCost":125099.86044253722,"quantityVariance":-391.1,"scheduleRows":1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3374.94,"scheduledCost":81785.63559858299,"quantityVariance":-3301.06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10.2,"scheduledCost":13938.963052160456,"quantityVariance":-105.8,"scheduleRows":1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10997.720000000001,"scheduledCost":212348.73561737873,"quantityVariance":2801.3200000000015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41.98,"scheduledCost":40497.03306525788,"quantityVariance":-106.22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1.94,"scheduledCost":246.34956054141492,"quantityVariance":-968.06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3.64,"scheduledCost":108708.40594839805,"quantityVariance":0.8400000000000003,"scheduleRows":1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6892,"scheduledCost":108558.2338040994,"quantityVariance":3842,"scheduleRows":1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2,"scheduledCost":676.624248399373,"quantityVariance":-118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2,"scheduledCost":448.58246551686403,"quantityVariance":-160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</t>
        </is>
      </c>
    </row>
    <row r="6">
      <c r="A6" t="inlineStr">
        <is>
          <t xml:space="preserve">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84,"scheduledCost":20316.67770453554,"quantityVariance":-42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24.72,"scheduledCost":28954.08536393745,"quantityVariance":2.919999999999998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0,"scheduledCost":0,"quantityVariance":-124,"scheduleRows":0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10.2,"scheduledCost":2586.372002788452,"quantityVariance":-49.8,"scheduleRows":1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10,"scheduledCost":2167.8976297059667,"quantityVariance":-34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3.2,"scheduledCost":15870.578220144738,"quantityVariance":2.56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14,"scheduledCost":2951.375088203824,"quantityVariance":4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3.78,"scheduledCost":70067.58891940399,"quantityVariance":3.76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2,"scheduledCost":240.71047677873696,"quantityVariance":0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267.08,"scheduledCost":6223.629606997496,"quantityVariance":259.08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0.62,"scheduledCost":78.87606368370088,"quantityVariance":-0.58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override","scheduledQuantity":221.8,"scheduledCost":1197443.1378535752,"quantityVariance":110.9,"scheduleRows":1},{"code":"KQ-37-02","name":"ОГЗ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override","scheduledQuantity":9329.9,"scheduledCost":7804185.787485001,"quantityVariance":5944.778,"scheduleRows":1},{"code":"KQ-26-04","name":"HeavyLift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1650.18,"scheduledCost":354453.24628158694,"quantityVariance":-5583.82,"scheduleRows":3}],"materialForecastByKq":{"KQ-01-01":[0,0,0,0,0,0,0,0,0,0,0,0],"KQ-03-01":[0,0,0,0,0,0,0,0,0,0,0,0],"KQ-111-11":[0,0,0,0,0,0,0,0,0,0,0,0],"KQ-03-08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-05-01":[0,0,0,0,0,0,0,0,0,0,0,0],"KQ-09-01":[0,0,0,0,0,0,0,0,0,0,0,0],"KQ-09-02":[790300,203220,135480,0,0,0,0,0,0,0,0,0],"KQ-10-01":[50282.623999999996,44628.24799999999,139382.69799999997,165811.436,78654.548,34081.348,6968.835999999999,10368.147999999997,8463.826,19452.131999999994,56196.09799999999,15914.933999999997],"KQ-12-01":[75883.75,29182,55735.5,56290.5,71636.75,25069.5,16972.75,4549.25,2400.25,21924.25,24392,8494.5],"KQ-12-02":[1180704.5,857768,711183,497786,279024.5,294589.5,233798.5,103582.5,43978,50580.49999999999,184765.5,88664.5],"KQ-12-03":[0,0,0,0,0,0,0,5337.5,10612.5,5408.5,3799.75,792.75],"KQ-13-01":[56612.5,405070,539905,438333,167551,400875.5,98569,61085.00000000001,165809.99999999997,107690.5,60170,16814.5],"KQ-16-01":[0,0,0,0,944.9999999999999,243,162,54652.5,116166,101199,122723.99999999999,124838.99999999999],"KQ-18-02":[0,0,0,0,223.125,57.375,38.25,535.5,844.2625,273.4875,1749.9375,418.8375],"KQ-20-02":[0,0,0,0,0,0,0,0,0,1160.2499999999998,298.34999999999997,198.89999999999998],"KQ-20-03":[0,0,0,0,0,0,0,0,0,1160.2499999999998,298.34999999999997,198.89999999999998],"KQ-22-01":[0,0,0,0,0,0,0,0,0,0,0,0],"KQ-22-02":[0,0,0,0,0,0,0,0,0,0,0,0],"KQ-22-03":[0,0,0,0,0,0,0,0,0,0,0,0],"KQ-23-01":[0,0,0,0,0,0,0,0,0,0,0,0],"KQ-24-01":[0,0,0,0,0,0,0,0,0,0,0,0],"KQ-25-01":[0,0,0,0,0,0,0,0,0,253114.4,87482.36,49149.96],"KQ-26-01":[0,0,0,0,0,0,0,0,0,0,0,0],"KQ-27-02":[0,0,0,0,0,0,0,0,0,0,0,0],"KQ-27-03":[0,0,0,0,0,0,0,0,0,0,0,0],"KQ-27-04":[0,0,0,0,0,0,0,0,0,0,0,0],"KQ-27-05":[0,0,0,0,0,0,0,0,0,0,0,0],"KQ-27-13":[0,0,0,0,0,0,0,0,0,0,0,0],"KQ-27-14":[0,0,0,0,0,0,0,0,0,0,0,0],"KQ-27-19":[0,0,0,0,0,0,0,0,0,0,0,0],"KQ-32-01":[0,0,0,0,0,0,0,0,0,0,0,0],"KQ-33-01":[0,0,0,0,0,0,0,0,0,0,0,0],"KQ-33-06":[0,0,0,0,0,0,0,0,0,0,0,0],"KQ-34-03":[0,0,0,0,0,0,0,0,0,0,0,0],"KQ-35-01":[0,0,0,0,0,0,0,0,0,0,0,0],"KQ-37-02":[0,0,0,0,0,0,0,0,0,0,0,0],"KQ-38-02":[0,0,0,0,0,0,0,29453.76,43827.804,29393.388,10077.696,2575.152],"KQ-38-03":[0,0,0,0,0,0,0,274.04999999999995,70.47,46.98,50205.01499999999,12909.860999999999],"KQ-44-01":[0,0,0,0,0,0,0,0,0,0,0,0],"KQ-45-01":[0,0,0,0,0,0,0,0,0,0,0,0],"KQ-46-02":[0,0,0,0,0,0,0,0,0,0,3782.7999999999997,8537.619999999999],"KQ-48-01":[0,0,0,0,0,0,0,0,0,0,0,0],"KQ-48-04":[0,0,0,0,0,0,0,0,0,0,0,0],"KQ-49-01":[0,0,0,0,0,0,0,0,0,0,0,0],"KQ-49-04":[0,0,0,0,0,0,0,0,0,0,0,0],"KQ-51-01":[0,0,0,0,0,0,0,0,0,0,393.48749999999995,600.1949999999999],"KQ-51-02":[0,0,0,875,225,150,1855.0874999999999,7237.6224999999995,4208.255,2403.5299999999997,2072.1925,1416.85],"KQ-57-01":[0,0,0,0,0,0,0,0,0,0,0,0],"KQ-57-03":[0,0,0,0,0,0,0,0,0,0,0,0],"KQ-58-01":[0,0,0,0,0,0,0,0,0,0,0,0],"KQ-59-02":[0,0,0,0,0,0,0,0,0,0,0,0],"KQ-60-01":[0,0,0,0,0,0,0,0,0,0,0,0],"KQ-62-01":[0,0,0,0,0,0,0,0,0,0,0,9531.199999999999],"KQ-62-02":[0,0,0,0,0,0,0,0,0,0,0,0],"KQ-64-01":[0,0,0,0,0,0,0,0,0,735,189,126],"KQ-69-01":[0,0,0,0,6293,10711.2,37024,49862.600000000006,77153.99999999999,25096.8,12388.199999999999,4978.8],"KQ-69-02":[0,0,0,0,0,0,0,0,0,0,0,2922.325],"KQ-69-03":[0,0,0,68.07499999999999,17.505,11.67,0,0,1753.675,16664.345,13722.564999999999,9840.499999999998],"KQ-71-01":[0,0,0,0,0,0,0,0,0,6783.2625,23830.020000000004,6842.038500000001],"KQ-71-02":[0,0,0,0,0,0,0,9.45,2.4299999999999997,14356.695,50401.604999999996,14472.09],"KQ-71-03":[0,0,0,0,0,0,0,0,0,91752.5,521739.7499999999,338380]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savedModel":{"inputKey":"{\"id\":\"v_mugvk5ls02v0\",\"name\":\"Без исходных данных\",\"created\":\"2026-09-25\",\"year\":2026,\"currency\":\"USD\",\"fxRate\":80,\"dataMode\":\"imported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[8880.160000000002,7032.24,10582.28,9278.360000000002,4727.799999999999,6371.719999999999,2176.54,7165.499999999999,6542.160000000001,19045.679999999997,59445.10000000001,59872.15999999999],\"boqRate\":[0,0,0,0,0,0,0,0,0,0,0,0],\"revenue\":[0,0,0,0,0,0,0,0,0,0,0,0],\"otherRevenue\":[0,0,0,0,0,0,0,0,0,0,0,0],\"materials\":[0,0,0,0,0,0,0,0,0,0,0,0],\"directPeople\":[0,0,0,0,0,0,0,0,0,0,0,0],\"auxiliaryPeople\":[0,0,0,0,0,0,0,0,0,0,0,0],\"indirectPeople\":[0,0,0,0,0,0,0,0,0,0,0,0],\"laborIntensity\":[0,0,0,0,0,0,0,0,0,0,0,0],\"sourceDays\":[0,0,0,0,0,0,0,0,0,0,0,0],\"passivePeople\":[0,0,0,0,0,0,0,0,0,0,0,0],\"scaffoldPeople\":[0,0,0,0,0,0,0,0,0,0,0,0],\"equipmentHours\":[0,0,0,0,0,0,0,0,0,0,0,0],\"nrkVolume\":[0,0,0,0,0,0,0,0,0,0,0,0],\"payments\":[0,0,0,0,0,0,0,0,0,0,0,0],\"advances\":[0,0,0,0,0,0,0,0,0,0,0,0],\"advanceOffset\":[0,0,0,0,0,0,0,0,0,0,0,0]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</t>
        </is>
      </c>
    </row>
    <row r="7">
      <c r="A7" t="inlineStr">
        <is>
          <t xml:space="preserve">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kId\":\"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10,\"volumes\":[0,0,8.34,1.66,0,0,0,0,0,0,0,0],\"matchRule\":\"exact\",\"matchConfidence\":1,\"contractRate\":216.78976297059668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sg\",\"sourceRow\":107,\"sourceKey\":\"auto-21f25120\",\"workId\":\"\",\"name\":\"Монтаж проводника заземления (полоса)\",\"unit\":\"м\",\"kq1\":\"\",\"kq2\":\"KQ-51-02\",\"stableKey\":\"auto-40ad0cba\",\"plannedQuantity\":6953.36,\"scheduleQuantity\":3374.94,\"volumes\":[0,0,0,200,0,0,424.02,1545.28,491.84,158,348.7,207.1]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</t>
        </is>
      </c>
    </row>
    <row r="8">
      <c r="A8" t="inlineStr">
        <is>
          <t xml:space="preserve">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workSourceMeta\":{\"blockers\":[],\"loading\":false,\"error\":null,\"currency\":\"USD\"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resourceSources\":{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201119.70000000004,\"loadedAt\":\"2026-09-25T12:39:43.575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</t>
        </is>
      </c>
    </row>
    <row r="9">
      <c r="A9" t="inlineStr">
        <is>
          <t xml:space="preserve">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</t>
        </is>
      </c>
    </row>
    <row r="10">
      <c r="A10" t="inlineStr">
        <is>
          <t xml:space="preserve">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267.08,\"scheduledCost\":6223.629606997496,\"quantityV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</t>
        </is>
      </c>
    </row>
    <row r="11">
      <c r="A11" t="inlineStr">
        <is>
          <t xml:space="preserve">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}","result":{"rows":{"payroll":[0,0,0,0,0,0,0,0,0,0,0,0],"payrollTax":[0,0,0,0,0,0,0,0,0,0,0,0],"insurance":[0,0,0,0,0,0,0,0,0,0,0,0],"vacation":[0,0,0,0,0,0,0,0,0,0,0,0],"subcontract":[0,0,0,0,0,0,0,0,0,0,0,0],"equipment":[0,0,0,0,0,0,0,0,0,0,0,0],"scaffolding":[0,0,0,0,0,0,0,0,0,0,0,0],"scaffoldLabor":[0,0,0,0,0,0,0,0,0,0,0,0],"projectMaterials":[0,0,0,0,0,0,0,0,0,0,0,0],"consumables":[0,0,0,0,0,0,0,0,0,0,0,0],"nrk":[0,0,0,0,0,0,0,0,0,0,0,0],"otherDirect":[0,0,0,0,0,0,0,0,0,0,0,0],"indirectPayroll":[0,0,0,0,0,0,0,0,0,0,0,0],"indirectTax":[0,0,0,0,0,0,0,0,0,0,0,0],"indirectInsurance":[0,0,0,0,0,0,0,0,0,0,0,0],"indirectVacation":[0,0,0,0,0,0,0,0,0,0,0,0],"food":[0,0,0,0,0,0,0,0,0,0,0,0],"housing":[0,0,0,0,0,0,0,0,0,0,0,0],"bus":[0,0,0,0,0,0,0,0,0,0,0,0],"car":[0,0,0,0,0,0,0,0,0,0,0,0],"formwork":[0,0,0,0,0,0,0,0,0,0,0,0],"ppe":[0,0,0,0,0,0,0,0,0,0,0,0],"tickets":[0,0,0,0,0,0,0,0,0,0,0,0],"permit":[0,0,0,0,0,0,0,0,0,0,0,0],"medical":[0,0,0,0,0,0,0,0,0,0,0,0],"vziz":[0,0,0,0,0,0,0,0,0,0,0,0],"office":[7500,7500,7500,7500,7500,7500,7500,7500,7500,7500,7500,7500],"warehouse":[20000,20000,20000,20000,20000,20000,20000,20000,20000,20000,20000,20000],"internet":[0,0,0,0,0,0,0,0,0,0,0,0],"waste":[0,0,0,0,0,0,0,0,0,0,0,0],"safety":[0,0,0,0,0,0,0,0,0,0,0,0],"accident":[0,0,0,0,0,0,0,0,0,0,0,0],"it":[0,0,0,0,0,0,0,0,0,0,0,0],"containers":[0,0,0,0,0,0,0,0,0,0,0,0],"modularOffice":[0,0,0,0,0,0,0,0,0,0,0,0],"transport":[0,0,0,0,0,0,0,0,0,0,0,0],"otherIndirect":[0,0,0,0,0,0,0,0,0,0,0,0]},"materialCostsByKind":{},"revenue":[6009188.245655865,6326310.065261915,7192962.040909068,7719049.553621543,5505821.553424569,9987823.64153884,6691447.283210083,5821714.1066337265,7166557.134399284,10354368.854407901,15683364.331498714,14091759.611429863],"direct":[0,0,0,0,0,0,0,0,0,0,0,0],"indirect":[27500,27500,27500,27500,27500,27500,27500,27500,27500,27500,27500,27500],"costs":[27500,27500,27500,27500,27500,27500,27500,27500,27500,27500,27500,27500],"profit":[5981688.245655865,6298810.065261915,7165462.040909068,7691549.553621543,5478321.553424569,9960323.64153884,6663947.283210083,5794214.1066337265,7139057.134399284,10326868.854407901,15655864.331498714,14064259.611429863],"payments":{"payroll":[0,0,0,0,0,0,0,0,0,0,0,0],"payrollTax":[0,0,0,0,0,0,0,0,0,0,0,0],"insurance":[0,0,0,0,0,0,0,0,0,0,0,0],"vacation":[0,0,0,0,0,0,0,0,0,0,0,0],"subcontract":[0,0,0,0,0,0,0,0,0,0,0,0],"equipment":[0,0,0,0,0,0,0,0,0,0,0,0],"scaffolding":[0,0,0,0,0,0,0,0,0,0,0,0],"scaffoldLabor":[0,0,0,0,0,0,0,0,0,0,0,0],"projectMaterials":[0,0,0,0,0,0,0,0,0,0,0,0],"consumables":[0,0,0,0,0,0,0,0,0,0,0,0],"nrk":[0,0,0,0,0,0,0,0,0,0,0,0],"otherDirect":[0,0,0,0,0,0,0,0,0,0,0,0],"indirectPayroll":[0,0,0,0,0,0,0,0,0,0,0,0],"indirectTax":[0,0,0,0,0,0,0,0,0,0,0,0],"indirectInsurance":[0,0,0,0,0,0,0,0,0,0,0,0],"indirectVacation":[0,0,0,0,0,0,0,0,0,0,0,0],"food":[0,0,0,0,0,0,0,0,0,0,0,0],"housing":[0,0,0,0,0,0,0,0,0,0,0,0],"bus":[0,0,0,0,0,0,0,0,0,0,0,0],"car":[0,0,0,0,0,0,0,0,0,0,0,0],"formwork":[0,0,0,0,0,0,0,0,0,0,0,0],"ppe":[0,0,0,0,0,0,0,0,0,0,0,0],"tickets":[0,0,0,0,0,0,0,0,0,0,0,0],"permit":[0,0,0,0,0,0,0,0,0,0,0,0],"medical":[0,0,0,0,0,0,0,0,0,0,0,0],"vziz":[0,0,0,0,0,0,0,0,0,0,0,0],"office":[7500,7500,7500,7500,7500,7500,7500,7500,7500,7500,7500,7500],"warehouse":[20000,20000,20000,20000,20000,20000,20000,20000,20000,20000,20000,20000],"internet":[0,0,0,0,0,0,0,0,0,0,0,0],"waste":[0,0,0,0,0,0,0,0,0,0,0,0],"safety":[0,0,0,0,0,0,0,0,0,0,0,0],"accident":[0,0,0,0,0,0,0,0,0,0,0,0],"it":[0,0,0,0,0,0,0,0,0,0,0,0],"containers":[0,0,0,0,0,0,0,0,0,0,0,0],"modularOffice":[0,0,0,0,0,0,0,0,0,0,0,0],"transport":[0,0,0,0,0,0,0,0,0,0,0,0],"otherIndirect":[0,0,0,0,0,0,0,0,0,0,0,0]},"directPayments":[0,0,0,0,0,0,0,0,0,0,0,0],"indirectPayments":[27500,27500,27500,27500,27500,27500,27500,27500,27500,27500,27500,27500],"outputVat":[142514.62236355263,942333.5719812704,1078336.8504999788,1217390.196933582,1313349.2849927966,981125.5490736492,1634246.9651147777,1202792.4164589986,1012225.9603908974,1204674.771974713,1719211.3324779272,2595448.475255765],"advanceVat":[0,0,0,0,0,0,0,0,0,0,0,0],"offsetVat":[0,0,0,0,0,0,0,0,0,0,0,0],"inputVat":[0,0,0,0,0,0,0,0,0,0,0,0],"vatPay":[0,0,0,0,0,0,0,0,0,0,0,0],"operatingPayments":[27500,27500,27500,27500,27500,27500,27500,27500,27500,27500,27500,27500],"inflow":[790308.360379701,5225667.990077954,5979867.989136245,6750982.001177136,7283118.76223278,5440787.135772054,9062642.26109104,6670030.67309081,5613253.053076794,6680469.190041591,9533808.298286688,14392941.544600151],"ncf":[762808.360379701,5198167.990077954,5952367.989136245,6723482.001177136,7255618.76223278,5413287.135772054,9035142.26109104,6642530.67309081,5585753.053076794,6652969.190041591,9506308.298286688,14365441.544600151],"cumulative":[762808.360379701,5960976.350457655,11913344.3395939,18636826.340771034,25892445.103003815,31305732.238775868,40340874.49986691,46983405.17295772,52569158.226034515,59222127.41607611,68728435.7143628,83093877.25896296],"cashBridge":{"revenue":102550366.42199138,"cashReceipts":83423877.25896296,"accrualGap":-19126489.16302842,"accruedCosts":330000,"cashCosts":330000,"costTiming":0,"taxCash":0,"openingCash":0},"openingCash":0,"deferred":0,"accepted":[831903.5372417906,5500703.147450478,6294597.88330131,7106296.843344353,7666440.802350296,5727144.353444267,9539623.432727411,7021084.919042958,5908687.424291363,7032072.831622728,10035587.68240704,15150464.783789633],"receipts":[790308.360379701,5225667.990077954,5979867.989136245,6750982.001177136,7283118.76223278,5440787.135772054,9062642.26109104,6670030.67309081,5613253.053076794,6680469.190041591,9533808.298286688,14392941.544600151],"advances":[0,0,0,0,0,0,0,0,0,0,0,0],"factoring":[0,0,0,0,0,0,0,0,0,0,0,0],"offsets":[0,0,0,0,0,0,0,0,0,0,0,0],"retention":[41595.176862089524,275035.15737252386,314729.8941650655,355314.84216721763,383322.0401175148,286357.21767221333,476981.1716363706,351054.24595214793,295434.37121456815,351603.64158113644,501779.384120352,757523.2391894816],"deductions":[0,0,0,0,0,0,0,0,0,0,0,0],"receivable":[0,0,0,0,0,0,0,0,0,0,0,0]},"savedAt":"2026-09-25T12:42:30.520Z"},"costRateFile":"expense_rates.xlsx"}]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sourceIdentities":{"primary_documents":{"contractNumber":"4700134228","contractor":"Подрядчик 2 · расчётный сценарий","project":"ПЭ"},"payments":{"contractNumber":"4700134228","contractor":"Подрядчик 2 · расчётный сценарий"}}}],"portfolio":{"versionIds":{},"excluded":[]},"executionSchedule":{"stages":[70,18,12],"documentationDelay":[10,10,10],"ks2Lag":1}}}</t>
        </is>
      </c>
    </row>
  </sheetData>
</worksheet>
</file>